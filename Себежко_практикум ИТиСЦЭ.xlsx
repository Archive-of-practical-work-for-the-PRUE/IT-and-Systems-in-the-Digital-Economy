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WORKS\UNIVERSITY\Second_course\ИТиСЦЭ\"/>
    </mc:Choice>
  </mc:AlternateContent>
  <xr:revisionPtr revIDLastSave="0" documentId="13_ncr:1_{052FC629-7115-4466-8BB3-A3BD9117AB4A}" xr6:coauthVersionLast="47" xr6:coauthVersionMax="47" xr10:uidLastSave="{00000000-0000-0000-0000-000000000000}"/>
  <bookViews>
    <workbookView xWindow="-103" yWindow="-103" windowWidth="24892" windowHeight="14083" activeTab="5" xr2:uid="{00000000-000D-0000-FFFF-FFFF00000000}"/>
  </bookViews>
  <sheets>
    <sheet name="Задание 1.1" sheetId="2" r:id="rId1"/>
    <sheet name="Задание 1.2" sheetId="4" r:id="rId2"/>
    <sheet name="Задание 2" sheetId="3" r:id="rId3"/>
    <sheet name="Задание 3.1" sheetId="1" r:id="rId4"/>
    <sheet name="Задание 3.2" sheetId="5" r:id="rId5"/>
    <sheet name="Задание 3.3" sheetId="7" r:id="rId6"/>
  </sheets>
  <definedNames>
    <definedName name="ExternalData_1" localSheetId="0" hidden="1">'Задание 1.1'!$A$1:$D$21</definedName>
    <definedName name="ExternalData_1" localSheetId="1" hidden="1">'Задание 1.2'!$A$1:$D$45</definedName>
    <definedName name="ExternalData_1" localSheetId="2" hidden="1">'Задание 2'!$A$1:$F$62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7" l="1"/>
  <c r="K14" i="1"/>
  <c r="H10" i="1"/>
  <c r="G18" i="5"/>
  <c r="G12" i="5"/>
  <c r="G6" i="5"/>
  <c r="K18" i="5" s="1"/>
  <c r="R19" i="7"/>
  <c r="E45" i="7" s="1"/>
  <c r="R18" i="7"/>
  <c r="D41" i="7" s="1"/>
  <c r="R17" i="7"/>
  <c r="D38" i="7" s="1"/>
  <c r="R16" i="7"/>
  <c r="D35" i="7" s="1"/>
  <c r="D43" i="7"/>
  <c r="D40" i="7"/>
  <c r="E36" i="7"/>
  <c r="E33" i="7"/>
  <c r="H30" i="7" s="1"/>
  <c r="H36" i="7" s="1"/>
  <c r="M18" i="7"/>
  <c r="H23" i="7"/>
  <c r="H16" i="7" s="1"/>
  <c r="H4" i="1"/>
  <c r="H23" i="1"/>
  <c r="H16" i="1" s="1"/>
  <c r="H4" i="7"/>
  <c r="H10" i="7"/>
  <c r="M8" i="7" s="1"/>
  <c r="K14" i="7"/>
  <c r="K6" i="5" l="1"/>
  <c r="K12" i="5"/>
  <c r="O16" i="5" s="1"/>
  <c r="H42" i="7"/>
  <c r="K40" i="7" s="1"/>
  <c r="O8" i="7"/>
  <c r="R7" i="7" s="1"/>
  <c r="O18" i="7"/>
  <c r="O8" i="5" l="1"/>
  <c r="S12" i="5" s="1"/>
  <c r="R9" i="7"/>
  <c r="R8" i="7"/>
  <c r="R6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B5E5A2-2653-41E6-B133-0B04E3829C38}" keepAlive="1" name="Запрос — automobile_prices_economics_2019_2023" description="Соединение с запросом &quot;automobile_prices_economics_2019_2023&quot; в книге." type="5" refreshedVersion="8" background="1" saveData="1">
    <dbPr connection="Provider=Microsoft.Mashup.OleDb.1;Data Source=$Workbook$;Location=automobile_prices_economics_2019_2023;Extended Properties=&quot;&quot;" command="SELECT * FROM [automobile_prices_economics_2019_2023]"/>
  </connection>
  <connection id="2" xr16:uid="{971A1744-87C5-48EF-8596-312E03E2C8FF}" keepAlive="1" name="Запрос — Document" description="Соединение с запросом &quot;Document&quot; в книге." type="5" refreshedVersion="8" background="1" saveData="1">
    <dbPr connection="Provider=Microsoft.Mashup.OleDb.1;Data Source=$Workbook$;Location=Document;Extended Properties=&quot;&quot;" command="SELECT * FROM [Document]"/>
  </connection>
  <connection id="3" xr16:uid="{30C23DF4-F15C-4950-8F7E-5F3B6190B873}" keepAlive="1" name="Запрос — Document (2)" description="Соединение с запросом &quot;Document (2)&quot; в книге." type="5" refreshedVersion="8" background="1" saveData="1">
    <dbPr connection="Provider=Microsoft.Mashup.OleDb.1;Data Source=$Workbook$;Location=&quot;Document (2)&quot;;Extended Properties=&quot;&quot;" command="SELECT * FROM [Document (2)]"/>
  </connection>
</connections>
</file>

<file path=xl/sharedStrings.xml><?xml version="1.0" encoding="utf-8"?>
<sst xmlns="http://schemas.openxmlformats.org/spreadsheetml/2006/main" count="353" uniqueCount="124">
  <si>
    <t>Month/Year</t>
  </si>
  <si>
    <t>New Price ($)</t>
  </si>
  <si>
    <t>Used Price ($)</t>
  </si>
  <si>
    <t>Inflation Rate (%)</t>
  </si>
  <si>
    <t>Interest Rate (%)</t>
  </si>
  <si>
    <t>Units Sold</t>
  </si>
  <si>
    <t>1.60%</t>
  </si>
  <si>
    <t>2.40%</t>
  </si>
  <si>
    <t>1.50%</t>
  </si>
  <si>
    <t>1.90%</t>
  </si>
  <si>
    <t>2.00%</t>
  </si>
  <si>
    <t>1.80%</t>
  </si>
  <si>
    <t>1.70%</t>
  </si>
  <si>
    <t>2.10%</t>
  </si>
  <si>
    <t>2.30%</t>
  </si>
  <si>
    <t>2.50%</t>
  </si>
  <si>
    <t>1.75%</t>
  </si>
  <si>
    <t>0.30%</t>
  </si>
  <si>
    <t>0.25%</t>
  </si>
  <si>
    <t>0.10%</t>
  </si>
  <si>
    <t>0.60%</t>
  </si>
  <si>
    <t>1.00%</t>
  </si>
  <si>
    <t>1.30%</t>
  </si>
  <si>
    <t>1.40%</t>
  </si>
  <si>
    <t>1.20%</t>
  </si>
  <si>
    <t>1.10%</t>
  </si>
  <si>
    <t>2.60%</t>
  </si>
  <si>
    <t>4.20%</t>
  </si>
  <si>
    <t>4.90%</t>
  </si>
  <si>
    <t>5.30%</t>
  </si>
  <si>
    <t>5.40%</t>
  </si>
  <si>
    <t>5.20%</t>
  </si>
  <si>
    <t>6.20%</t>
  </si>
  <si>
    <t>6.80%</t>
  </si>
  <si>
    <t>7.00%</t>
  </si>
  <si>
    <t>7.50%</t>
  </si>
  <si>
    <t>7.90%</t>
  </si>
  <si>
    <t>8.50%</t>
  </si>
  <si>
    <t>0.50%</t>
  </si>
  <si>
    <t>8.30%</t>
  </si>
  <si>
    <t>0.75%</t>
  </si>
  <si>
    <t>8.60%</t>
  </si>
  <si>
    <t>9.10%</t>
  </si>
  <si>
    <t>8.20%</t>
  </si>
  <si>
    <t>3.00%</t>
  </si>
  <si>
    <t>7.70%</t>
  </si>
  <si>
    <t>3.50%</t>
  </si>
  <si>
    <t>7.10%</t>
  </si>
  <si>
    <t>3.75%</t>
  </si>
  <si>
    <t>6.50%</t>
  </si>
  <si>
    <t>4.25%</t>
  </si>
  <si>
    <t>6.40%</t>
  </si>
  <si>
    <t>4.50%</t>
  </si>
  <si>
    <t>6.00%</t>
  </si>
  <si>
    <t>4.75%</t>
  </si>
  <si>
    <t>5.80%</t>
  </si>
  <si>
    <t>5.00%</t>
  </si>
  <si>
    <t>5.50%</t>
  </si>
  <si>
    <t>5.25%</t>
  </si>
  <si>
    <t>5.75%</t>
  </si>
  <si>
    <t>4.30%</t>
  </si>
  <si>
    <t>4.00%</t>
  </si>
  <si>
    <t>3.80%</t>
  </si>
  <si>
    <t/>
  </si>
  <si>
    <t>Название товара</t>
  </si>
  <si>
    <t>Цена</t>
  </si>
  <si>
    <t>Бренд</t>
  </si>
  <si>
    <t>Категория</t>
  </si>
  <si>
    <t>Миска `LADY PINK` `FAVS`</t>
  </si>
  <si>
    <t>LADY PINK</t>
  </si>
  <si>
    <t>Для животных/Аксессуары и амуниция</t>
  </si>
  <si>
    <t>Украшение для животных `LADY PINK` `FAVS`</t>
  </si>
  <si>
    <t>Когтеточка `LADY PINK` `FAVS`</t>
  </si>
  <si>
    <t>Лежанка `LADY PINK` `FAVS`</t>
  </si>
  <si>
    <t>Игрушка для животных `LADY PINK` `FAVS`</t>
  </si>
  <si>
    <t>Игрушка `LADY PINK` `FAVS`</t>
  </si>
  <si>
    <t>Поводок `LADY PINK` `FAVS`</t>
  </si>
  <si>
    <t>Ошейник с поводком `LADY PINK` `FAVS` Размер M</t>
  </si>
  <si>
    <t>Одежда для собак `LADY PINK` `FAVS` Размер S</t>
  </si>
  <si>
    <t>Одежда для собак `LADY PINK` `FAVS` Размер L</t>
  </si>
  <si>
    <t>Одежда для собак `LADY PINK` `FAVS` Размер XL</t>
  </si>
  <si>
    <t>Название</t>
  </si>
  <si>
    <t>Имя основного жанра книги</t>
  </si>
  <si>
    <t>Имя первого жанра книги</t>
  </si>
  <si>
    <t>Тропой янычара</t>
  </si>
  <si>
    <t>Криминальный отечественный детектив</t>
  </si>
  <si>
    <t>Художественная литература</t>
  </si>
  <si>
    <t>Операция "Шайтан"</t>
  </si>
  <si>
    <t>Отечественный боевик</t>
  </si>
  <si>
    <t>Сашка Вагнер. Вера. Отвага. Честь</t>
  </si>
  <si>
    <t>Межконтинентальный узел</t>
  </si>
  <si>
    <t>Салам, бача!</t>
  </si>
  <si>
    <t>Матрица Макиавелли</t>
  </si>
  <si>
    <t>Миссионер поневоле</t>
  </si>
  <si>
    <t>Крах операции Фарадей. Роман, рассказы</t>
  </si>
  <si>
    <t>Танк "Черный сепар"</t>
  </si>
  <si>
    <t>Военный роман</t>
  </si>
  <si>
    <t>Автономный дрейф</t>
  </si>
  <si>
    <t>Чёрные дьяволы</t>
  </si>
  <si>
    <t>Мой друг Сибирцев</t>
  </si>
  <si>
    <t>Телохранительница</t>
  </si>
  <si>
    <t>Антикиллер-2</t>
  </si>
  <si>
    <t>Черный снег вермахта</t>
  </si>
  <si>
    <t>Суворовец Воевода. Боец республики</t>
  </si>
  <si>
    <t>Черная метка</t>
  </si>
  <si>
    <t>Время лимитрофов</t>
  </si>
  <si>
    <t>Образ в цинковом окладе</t>
  </si>
  <si>
    <t>Пражская весна</t>
  </si>
  <si>
    <t>Тайна проекта "WH"</t>
  </si>
  <si>
    <t>Грани наших желаний</t>
  </si>
  <si>
    <t>Ошибка сети</t>
  </si>
  <si>
    <t>Сумма для V1</t>
  </si>
  <si>
    <t>Значение выходного нейрона V1</t>
  </si>
  <si>
    <t>Значение выходного нейрона V2</t>
  </si>
  <si>
    <t>w1</t>
  </si>
  <si>
    <t>w2</t>
  </si>
  <si>
    <t>w3</t>
  </si>
  <si>
    <t>w4</t>
  </si>
  <si>
    <t>w5</t>
  </si>
  <si>
    <t>w6</t>
  </si>
  <si>
    <t>w7</t>
  </si>
  <si>
    <t>w8</t>
  </si>
  <si>
    <t>Дельта</t>
  </si>
  <si>
    <t>Производная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</si>
</sst>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130628</xdr:colOff>
      <xdr:row>5</xdr:row>
      <xdr:rowOff>97971</xdr:rowOff>
    </xdr:from>
    <xdr:to>
      <xdr:col>2</xdr:col>
      <xdr:colOff>533400</xdr:colOff>
      <xdr:row>7</xdr:row>
      <xdr:rowOff>136071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A4D52FBF-E1DA-7154-1BFD-4E45C569B723}"/>
            </a:ext>
          </a:extLst>
        </xdr:cNvPr>
        <xdr:cNvSpPr/>
      </xdr:nvSpPr>
      <xdr:spPr>
        <a:xfrm>
          <a:off x="783771" y="283028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141513</xdr:colOff>
      <xdr:row>9</xdr:row>
      <xdr:rowOff>81642</xdr:rowOff>
    </xdr:from>
    <xdr:to>
      <xdr:col>2</xdr:col>
      <xdr:colOff>544285</xdr:colOff>
      <xdr:row>11</xdr:row>
      <xdr:rowOff>119742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8E6A468D-8EF7-409E-A5C3-FBA3885ABACF}"/>
            </a:ext>
          </a:extLst>
        </xdr:cNvPr>
        <xdr:cNvSpPr/>
      </xdr:nvSpPr>
      <xdr:spPr>
        <a:xfrm>
          <a:off x="794656" y="1006928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136071</xdr:colOff>
      <xdr:row>13</xdr:row>
      <xdr:rowOff>97971</xdr:rowOff>
    </xdr:from>
    <xdr:to>
      <xdr:col>2</xdr:col>
      <xdr:colOff>538843</xdr:colOff>
      <xdr:row>15</xdr:row>
      <xdr:rowOff>136070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7E805ECF-82CA-4BF9-8A66-ADA77186B2AD}"/>
            </a:ext>
          </a:extLst>
        </xdr:cNvPr>
        <xdr:cNvSpPr/>
      </xdr:nvSpPr>
      <xdr:spPr>
        <a:xfrm>
          <a:off x="789214" y="1763485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125186</xdr:colOff>
      <xdr:row>17</xdr:row>
      <xdr:rowOff>87085</xdr:rowOff>
    </xdr:from>
    <xdr:to>
      <xdr:col>2</xdr:col>
      <xdr:colOff>527958</xdr:colOff>
      <xdr:row>19</xdr:row>
      <xdr:rowOff>125185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26BDCD92-51F1-42FC-8915-574BAC2818D6}"/>
            </a:ext>
          </a:extLst>
        </xdr:cNvPr>
        <xdr:cNvSpPr/>
      </xdr:nvSpPr>
      <xdr:spPr>
        <a:xfrm>
          <a:off x="778329" y="2492828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27214</xdr:colOff>
      <xdr:row>7</xdr:row>
      <xdr:rowOff>125186</xdr:rowOff>
    </xdr:from>
    <xdr:to>
      <xdr:col>7</xdr:col>
      <xdr:colOff>642257</xdr:colOff>
      <xdr:row>11</xdr:row>
      <xdr:rowOff>59871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32F17136-A909-45E4-BD74-20A9355FCCB9}"/>
            </a:ext>
          </a:extLst>
        </xdr:cNvPr>
        <xdr:cNvSpPr/>
      </xdr:nvSpPr>
      <xdr:spPr>
        <a:xfrm>
          <a:off x="3946071" y="680357"/>
          <a:ext cx="615043" cy="6749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54428</xdr:colOff>
      <xdr:row>13</xdr:row>
      <xdr:rowOff>168728</xdr:rowOff>
    </xdr:from>
    <xdr:to>
      <xdr:col>7</xdr:col>
      <xdr:colOff>615042</xdr:colOff>
      <xdr:row>17</xdr:row>
      <xdr:rowOff>21770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2ABFC176-8223-484E-8068-CBDA88A5050F}"/>
            </a:ext>
          </a:extLst>
        </xdr:cNvPr>
        <xdr:cNvSpPr/>
      </xdr:nvSpPr>
      <xdr:spPr>
        <a:xfrm>
          <a:off x="3973285" y="1834242"/>
          <a:ext cx="560614" cy="5932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533400</xdr:colOff>
      <xdr:row>6</xdr:row>
      <xdr:rowOff>117021</xdr:rowOff>
    </xdr:from>
    <xdr:to>
      <xdr:col>7</xdr:col>
      <xdr:colOff>117285</xdr:colOff>
      <xdr:row>8</xdr:row>
      <xdr:rowOff>38967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A82AE2C3-E969-BB5D-950E-4C66CE1B94AA}"/>
            </a:ext>
          </a:extLst>
        </xdr:cNvPr>
        <xdr:cNvCxnSpPr>
          <a:stCxn id="2" idx="6"/>
          <a:endCxn id="6" idx="1"/>
        </xdr:cNvCxnSpPr>
      </xdr:nvCxnSpPr>
      <xdr:spPr>
        <a:xfrm>
          <a:off x="1186543" y="487135"/>
          <a:ext cx="2849599" cy="29206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474415</xdr:colOff>
      <xdr:row>7</xdr:row>
      <xdr:rowOff>76289</xdr:rowOff>
    </xdr:from>
    <xdr:to>
      <xdr:col>7</xdr:col>
      <xdr:colOff>136528</xdr:colOff>
      <xdr:row>14</xdr:row>
      <xdr:rowOff>70554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704B6582-D9BE-DF35-CF66-772FEFC29B17}"/>
            </a:ext>
          </a:extLst>
        </xdr:cNvPr>
        <xdr:cNvCxnSpPr>
          <a:stCxn id="2" idx="5"/>
          <a:endCxn id="7" idx="1"/>
        </xdr:cNvCxnSpPr>
      </xdr:nvCxnSpPr>
      <xdr:spPr>
        <a:xfrm>
          <a:off x="1127558" y="631460"/>
          <a:ext cx="2927827" cy="12896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9</xdr:row>
      <xdr:rowOff>92528</xdr:rowOff>
    </xdr:from>
    <xdr:to>
      <xdr:col>7</xdr:col>
      <xdr:colOff>27214</xdr:colOff>
      <xdr:row>10</xdr:row>
      <xdr:rowOff>100692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4BA65815-1044-CEB7-9127-F2BEC8539D1E}"/>
            </a:ext>
          </a:extLst>
        </xdr:cNvPr>
        <xdr:cNvCxnSpPr>
          <a:stCxn id="3" idx="6"/>
          <a:endCxn id="6" idx="2"/>
        </xdr:cNvCxnSpPr>
      </xdr:nvCxnSpPr>
      <xdr:spPr>
        <a:xfrm flipV="1">
          <a:off x="1197428" y="1017814"/>
          <a:ext cx="2748643" cy="193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485300</xdr:colOff>
      <xdr:row>11</xdr:row>
      <xdr:rowOff>59960</xdr:rowOff>
    </xdr:from>
    <xdr:to>
      <xdr:col>7</xdr:col>
      <xdr:colOff>54428</xdr:colOff>
      <xdr:row>15</xdr:row>
      <xdr:rowOff>95249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4B1767D0-E444-EC3A-F714-CA5AC59422BF}"/>
            </a:ext>
          </a:extLst>
        </xdr:cNvPr>
        <xdr:cNvCxnSpPr>
          <a:stCxn id="3" idx="5"/>
          <a:endCxn id="7" idx="2"/>
        </xdr:cNvCxnSpPr>
      </xdr:nvCxnSpPr>
      <xdr:spPr>
        <a:xfrm>
          <a:off x="1138443" y="1355360"/>
          <a:ext cx="2834842" cy="7755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479858</xdr:colOff>
      <xdr:row>10</xdr:row>
      <xdr:rowOff>146089</xdr:rowOff>
    </xdr:from>
    <xdr:to>
      <xdr:col>7</xdr:col>
      <xdr:colOff>117285</xdr:colOff>
      <xdr:row>13</xdr:row>
      <xdr:rowOff>157753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B560C050-17E3-D12D-663D-6DB7DE8F667B}"/>
            </a:ext>
          </a:extLst>
        </xdr:cNvPr>
        <xdr:cNvCxnSpPr>
          <a:stCxn id="4" idx="7"/>
          <a:endCxn id="6" idx="3"/>
        </xdr:cNvCxnSpPr>
      </xdr:nvCxnSpPr>
      <xdr:spPr>
        <a:xfrm flipV="1">
          <a:off x="1133001" y="1256432"/>
          <a:ext cx="2903141" cy="5668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538843</xdr:colOff>
      <xdr:row>14</xdr:row>
      <xdr:rowOff>117021</xdr:rowOff>
    </xdr:from>
    <xdr:to>
      <xdr:col>7</xdr:col>
      <xdr:colOff>136528</xdr:colOff>
      <xdr:row>16</xdr:row>
      <xdr:rowOff>119944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E8B6ED7D-E555-0F55-7769-669F49D14A6E}"/>
            </a:ext>
          </a:extLst>
        </xdr:cNvPr>
        <xdr:cNvCxnSpPr>
          <a:stCxn id="4" idx="6"/>
          <a:endCxn id="7" idx="3"/>
        </xdr:cNvCxnSpPr>
      </xdr:nvCxnSpPr>
      <xdr:spPr>
        <a:xfrm>
          <a:off x="1191986" y="1967592"/>
          <a:ext cx="2863399" cy="37303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468973</xdr:colOff>
      <xdr:row>11</xdr:row>
      <xdr:rowOff>59871</xdr:rowOff>
    </xdr:from>
    <xdr:to>
      <xdr:col>7</xdr:col>
      <xdr:colOff>334736</xdr:colOff>
      <xdr:row>17</xdr:row>
      <xdr:rowOff>146867</xdr:rowOff>
    </xdr:to>
    <xdr:cxnSp macro="">
      <xdr:nvCxnSpPr>
        <xdr:cNvPr id="21" name="Прямая соединительная линия 20">
          <a:extLst>
            <a:ext uri="{FF2B5EF4-FFF2-40B4-BE49-F238E27FC236}">
              <a16:creationId xmlns:a16="http://schemas.microsoft.com/office/drawing/2014/main" id="{9D2466C0-FF2D-B8F2-7A5D-481FE0B84BF2}"/>
            </a:ext>
          </a:extLst>
        </xdr:cNvPr>
        <xdr:cNvCxnSpPr>
          <a:cxnSpLocks/>
          <a:stCxn id="5" idx="7"/>
          <a:endCxn id="6" idx="4"/>
        </xdr:cNvCxnSpPr>
      </xdr:nvCxnSpPr>
      <xdr:spPr>
        <a:xfrm flipV="1">
          <a:off x="1122116" y="1355271"/>
          <a:ext cx="3131477" cy="11973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527958</xdr:colOff>
      <xdr:row>17</xdr:row>
      <xdr:rowOff>21770</xdr:rowOff>
    </xdr:from>
    <xdr:to>
      <xdr:col>7</xdr:col>
      <xdr:colOff>334735</xdr:colOff>
      <xdr:row>18</xdr:row>
      <xdr:rowOff>106135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EADF7217-CCA6-DA23-8CAA-E3E1D8829080}"/>
            </a:ext>
          </a:extLst>
        </xdr:cNvPr>
        <xdr:cNvCxnSpPr>
          <a:cxnSpLocks/>
          <a:stCxn id="5" idx="6"/>
          <a:endCxn id="7" idx="4"/>
        </xdr:cNvCxnSpPr>
      </xdr:nvCxnSpPr>
      <xdr:spPr>
        <a:xfrm flipV="1">
          <a:off x="1181101" y="2427513"/>
          <a:ext cx="3072491" cy="2694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130628</xdr:colOff>
      <xdr:row>4</xdr:row>
      <xdr:rowOff>87085</xdr:rowOff>
    </xdr:from>
    <xdr:to>
      <xdr:col>2</xdr:col>
      <xdr:colOff>533400</xdr:colOff>
      <xdr:row>6</xdr:row>
      <xdr:rowOff>125185</xdr:rowOff>
    </xdr:to>
    <xdr:sp macro="" textlink="">
      <xdr:nvSpPr>
        <xdr:cNvPr id="30" name="Овал 29">
          <a:extLst>
            <a:ext uri="{FF2B5EF4-FFF2-40B4-BE49-F238E27FC236}">
              <a16:creationId xmlns:a16="http://schemas.microsoft.com/office/drawing/2014/main" id="{4561CBC1-2B4D-45A3-94EA-779E0D56FE2E}"/>
            </a:ext>
          </a:extLst>
        </xdr:cNvPr>
        <xdr:cNvSpPr/>
      </xdr:nvSpPr>
      <xdr:spPr>
        <a:xfrm>
          <a:off x="1436914" y="827314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141513</xdr:colOff>
      <xdr:row>10</xdr:row>
      <xdr:rowOff>81642</xdr:rowOff>
    </xdr:from>
    <xdr:to>
      <xdr:col>2</xdr:col>
      <xdr:colOff>544285</xdr:colOff>
      <xdr:row>12</xdr:row>
      <xdr:rowOff>119742</xdr:rowOff>
    </xdr:to>
    <xdr:sp macro="" textlink="">
      <xdr:nvSpPr>
        <xdr:cNvPr id="31" name="Овал 30">
          <a:extLst>
            <a:ext uri="{FF2B5EF4-FFF2-40B4-BE49-F238E27FC236}">
              <a16:creationId xmlns:a16="http://schemas.microsoft.com/office/drawing/2014/main" id="{55FEA88C-5985-4F94-8494-68235A138B45}"/>
            </a:ext>
          </a:extLst>
        </xdr:cNvPr>
        <xdr:cNvSpPr/>
      </xdr:nvSpPr>
      <xdr:spPr>
        <a:xfrm>
          <a:off x="1447799" y="1747156"/>
          <a:ext cx="402772" cy="4082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119742</xdr:colOff>
      <xdr:row>16</xdr:row>
      <xdr:rowOff>59871</xdr:rowOff>
    </xdr:from>
    <xdr:to>
      <xdr:col>2</xdr:col>
      <xdr:colOff>522514</xdr:colOff>
      <xdr:row>18</xdr:row>
      <xdr:rowOff>97969</xdr:rowOff>
    </xdr:to>
    <xdr:sp macro="" textlink="">
      <xdr:nvSpPr>
        <xdr:cNvPr id="32" name="Овал 31">
          <a:extLst>
            <a:ext uri="{FF2B5EF4-FFF2-40B4-BE49-F238E27FC236}">
              <a16:creationId xmlns:a16="http://schemas.microsoft.com/office/drawing/2014/main" id="{E965E31E-1253-4953-BB1C-4A6D9220D972}"/>
            </a:ext>
          </a:extLst>
        </xdr:cNvPr>
        <xdr:cNvSpPr/>
      </xdr:nvSpPr>
      <xdr:spPr>
        <a:xfrm>
          <a:off x="1426028" y="3020785"/>
          <a:ext cx="402772" cy="408213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6</xdr:col>
      <xdr:colOff>21772</xdr:colOff>
      <xdr:row>3</xdr:row>
      <xdr:rowOff>174171</xdr:rowOff>
    </xdr:from>
    <xdr:to>
      <xdr:col>7</xdr:col>
      <xdr:colOff>1</xdr:colOff>
      <xdr:row>7</xdr:row>
      <xdr:rowOff>48984</xdr:rowOff>
    </xdr:to>
    <xdr:sp macro="" textlink="">
      <xdr:nvSpPr>
        <xdr:cNvPr id="36" name="Овал 35">
          <a:extLst>
            <a:ext uri="{FF2B5EF4-FFF2-40B4-BE49-F238E27FC236}">
              <a16:creationId xmlns:a16="http://schemas.microsoft.com/office/drawing/2014/main" id="{7E229814-315F-4576-AFDC-9C4D7C21C08E}"/>
            </a:ext>
          </a:extLst>
        </xdr:cNvPr>
        <xdr:cNvSpPr/>
      </xdr:nvSpPr>
      <xdr:spPr>
        <a:xfrm>
          <a:off x="3940629" y="729342"/>
          <a:ext cx="631372" cy="6150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6</xdr:col>
      <xdr:colOff>54426</xdr:colOff>
      <xdr:row>10</xdr:row>
      <xdr:rowOff>16329</xdr:rowOff>
    </xdr:from>
    <xdr:to>
      <xdr:col>6</xdr:col>
      <xdr:colOff>609599</xdr:colOff>
      <xdr:row>12</xdr:row>
      <xdr:rowOff>174172</xdr:rowOff>
    </xdr:to>
    <xdr:sp macro="" textlink="">
      <xdr:nvSpPr>
        <xdr:cNvPr id="37" name="Овал 36">
          <a:extLst>
            <a:ext uri="{FF2B5EF4-FFF2-40B4-BE49-F238E27FC236}">
              <a16:creationId xmlns:a16="http://schemas.microsoft.com/office/drawing/2014/main" id="{76087C19-25C2-454C-AC0F-E8C9B165176C}"/>
            </a:ext>
          </a:extLst>
        </xdr:cNvPr>
        <xdr:cNvSpPr/>
      </xdr:nvSpPr>
      <xdr:spPr>
        <a:xfrm>
          <a:off x="3973283" y="1866900"/>
          <a:ext cx="555173" cy="527958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6</xdr:col>
      <xdr:colOff>59870</xdr:colOff>
      <xdr:row>16</xdr:row>
      <xdr:rowOff>10887</xdr:rowOff>
    </xdr:from>
    <xdr:to>
      <xdr:col>6</xdr:col>
      <xdr:colOff>636815</xdr:colOff>
      <xdr:row>19</xdr:row>
      <xdr:rowOff>21771</xdr:rowOff>
    </xdr:to>
    <xdr:sp macro="" textlink="">
      <xdr:nvSpPr>
        <xdr:cNvPr id="38" name="Овал 37">
          <a:extLst>
            <a:ext uri="{FF2B5EF4-FFF2-40B4-BE49-F238E27FC236}">
              <a16:creationId xmlns:a16="http://schemas.microsoft.com/office/drawing/2014/main" id="{23FC8D55-8290-46DA-92B3-92F1D4558AC4}"/>
            </a:ext>
          </a:extLst>
        </xdr:cNvPr>
        <xdr:cNvSpPr/>
      </xdr:nvSpPr>
      <xdr:spPr>
        <a:xfrm>
          <a:off x="3978727" y="2971801"/>
          <a:ext cx="576945" cy="566056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14</xdr:col>
      <xdr:colOff>70756</xdr:colOff>
      <xdr:row>6</xdr:row>
      <xdr:rowOff>43543</xdr:rowOff>
    </xdr:from>
    <xdr:to>
      <xdr:col>14</xdr:col>
      <xdr:colOff>598714</xdr:colOff>
      <xdr:row>8</xdr:row>
      <xdr:rowOff>179614</xdr:rowOff>
    </xdr:to>
    <xdr:sp macro="" textlink="">
      <xdr:nvSpPr>
        <xdr:cNvPr id="42" name="Овал 41">
          <a:extLst>
            <a:ext uri="{FF2B5EF4-FFF2-40B4-BE49-F238E27FC236}">
              <a16:creationId xmlns:a16="http://schemas.microsoft.com/office/drawing/2014/main" id="{B22C8FB5-E83B-4274-91DE-C586D36DEA48}"/>
            </a:ext>
          </a:extLst>
        </xdr:cNvPr>
        <xdr:cNvSpPr/>
      </xdr:nvSpPr>
      <xdr:spPr>
        <a:xfrm>
          <a:off x="9214756" y="1153886"/>
          <a:ext cx="527958" cy="50618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14</xdr:col>
      <xdr:colOff>59871</xdr:colOff>
      <xdr:row>14</xdr:row>
      <xdr:rowOff>32657</xdr:rowOff>
    </xdr:from>
    <xdr:to>
      <xdr:col>14</xdr:col>
      <xdr:colOff>593271</xdr:colOff>
      <xdr:row>17</xdr:row>
      <xdr:rowOff>16327</xdr:rowOff>
    </xdr:to>
    <xdr:sp macro="" textlink="">
      <xdr:nvSpPr>
        <xdr:cNvPr id="44" name="Овал 43">
          <a:extLst>
            <a:ext uri="{FF2B5EF4-FFF2-40B4-BE49-F238E27FC236}">
              <a16:creationId xmlns:a16="http://schemas.microsoft.com/office/drawing/2014/main" id="{5791E7D4-6D68-499B-A78F-42C5BC8BEDA3}"/>
            </a:ext>
          </a:extLst>
        </xdr:cNvPr>
        <xdr:cNvSpPr/>
      </xdr:nvSpPr>
      <xdr:spPr>
        <a:xfrm>
          <a:off x="9203871" y="2623457"/>
          <a:ext cx="533400" cy="53884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533400</xdr:colOff>
      <xdr:row>5</xdr:row>
      <xdr:rowOff>106135</xdr:rowOff>
    </xdr:from>
    <xdr:to>
      <xdr:col>6</xdr:col>
      <xdr:colOff>21772</xdr:colOff>
      <xdr:row>5</xdr:row>
      <xdr:rowOff>111577</xdr:rowOff>
    </xdr:to>
    <xdr:cxnSp macro="">
      <xdr:nvCxnSpPr>
        <xdr:cNvPr id="3" name="Прямая соединительная линия 2">
          <a:extLst>
            <a:ext uri="{FF2B5EF4-FFF2-40B4-BE49-F238E27FC236}">
              <a16:creationId xmlns:a16="http://schemas.microsoft.com/office/drawing/2014/main" id="{B17570C6-1E82-0E85-04D5-8E4606BFADF0}"/>
            </a:ext>
          </a:extLst>
        </xdr:cNvPr>
        <xdr:cNvCxnSpPr>
          <a:stCxn id="30" idx="6"/>
          <a:endCxn id="36" idx="2"/>
        </xdr:cNvCxnSpPr>
      </xdr:nvCxnSpPr>
      <xdr:spPr>
        <a:xfrm>
          <a:off x="1839686" y="1031421"/>
          <a:ext cx="2100943" cy="5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522514</xdr:colOff>
      <xdr:row>17</xdr:row>
      <xdr:rowOff>78921</xdr:rowOff>
    </xdr:from>
    <xdr:to>
      <xdr:col>6</xdr:col>
      <xdr:colOff>59870</xdr:colOff>
      <xdr:row>17</xdr:row>
      <xdr:rowOff>108858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6C5B1CB9-AAA3-675B-CB92-7EC5C29646E2}"/>
            </a:ext>
          </a:extLst>
        </xdr:cNvPr>
        <xdr:cNvCxnSpPr>
          <a:stCxn id="32" idx="6"/>
          <a:endCxn id="38" idx="2"/>
        </xdr:cNvCxnSpPr>
      </xdr:nvCxnSpPr>
      <xdr:spPr>
        <a:xfrm>
          <a:off x="1828800" y="3224892"/>
          <a:ext cx="2149927" cy="299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11</xdr:row>
      <xdr:rowOff>95250</xdr:rowOff>
    </xdr:from>
    <xdr:to>
      <xdr:col>6</xdr:col>
      <xdr:colOff>54426</xdr:colOff>
      <xdr:row>11</xdr:row>
      <xdr:rowOff>100692</xdr:rowOff>
    </xdr:to>
    <xdr:cxnSp macro="">
      <xdr:nvCxnSpPr>
        <xdr:cNvPr id="7" name="Прямая соединительная линия 6">
          <a:extLst>
            <a:ext uri="{FF2B5EF4-FFF2-40B4-BE49-F238E27FC236}">
              <a16:creationId xmlns:a16="http://schemas.microsoft.com/office/drawing/2014/main" id="{DFD9B566-A440-8E3C-EA06-BBA85B84F6AA}"/>
            </a:ext>
          </a:extLst>
        </xdr:cNvPr>
        <xdr:cNvCxnSpPr>
          <a:stCxn id="31" idx="6"/>
          <a:endCxn id="37" idx="2"/>
        </xdr:cNvCxnSpPr>
      </xdr:nvCxnSpPr>
      <xdr:spPr>
        <a:xfrm flipV="1">
          <a:off x="1850571" y="2130879"/>
          <a:ext cx="2122712" cy="54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5</xdr:row>
      <xdr:rowOff>106135</xdr:rowOff>
    </xdr:from>
    <xdr:to>
      <xdr:col>6</xdr:col>
      <xdr:colOff>54426</xdr:colOff>
      <xdr:row>11</xdr:row>
      <xdr:rowOff>95250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C0EF9722-07CD-58CB-B29F-31D9F20AB1FD}"/>
            </a:ext>
          </a:extLst>
        </xdr:cNvPr>
        <xdr:cNvCxnSpPr>
          <a:stCxn id="30" idx="6"/>
          <a:endCxn id="37" idx="2"/>
        </xdr:cNvCxnSpPr>
      </xdr:nvCxnSpPr>
      <xdr:spPr>
        <a:xfrm>
          <a:off x="1839686" y="1031421"/>
          <a:ext cx="2133597" cy="10994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5</xdr:row>
      <xdr:rowOff>106135</xdr:rowOff>
    </xdr:from>
    <xdr:to>
      <xdr:col>6</xdr:col>
      <xdr:colOff>59870</xdr:colOff>
      <xdr:row>17</xdr:row>
      <xdr:rowOff>108858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0435AC03-CACB-5FEE-6357-A2CB58879577}"/>
            </a:ext>
          </a:extLst>
        </xdr:cNvPr>
        <xdr:cNvCxnSpPr>
          <a:stCxn id="30" idx="6"/>
          <a:endCxn id="38" idx="2"/>
        </xdr:cNvCxnSpPr>
      </xdr:nvCxnSpPr>
      <xdr:spPr>
        <a:xfrm>
          <a:off x="1839686" y="1031421"/>
          <a:ext cx="2139041" cy="22234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5</xdr:row>
      <xdr:rowOff>111577</xdr:rowOff>
    </xdr:from>
    <xdr:to>
      <xdr:col>6</xdr:col>
      <xdr:colOff>21772</xdr:colOff>
      <xdr:row>11</xdr:row>
      <xdr:rowOff>100692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3FB292E3-E3DF-5438-3C74-9AB968696B29}"/>
            </a:ext>
          </a:extLst>
        </xdr:cNvPr>
        <xdr:cNvCxnSpPr>
          <a:stCxn id="31" idx="6"/>
          <a:endCxn id="36" idx="2"/>
        </xdr:cNvCxnSpPr>
      </xdr:nvCxnSpPr>
      <xdr:spPr>
        <a:xfrm flipV="1">
          <a:off x="1850571" y="1036863"/>
          <a:ext cx="2090058" cy="10994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11</xdr:row>
      <xdr:rowOff>100692</xdr:rowOff>
    </xdr:from>
    <xdr:to>
      <xdr:col>6</xdr:col>
      <xdr:colOff>59870</xdr:colOff>
      <xdr:row>17</xdr:row>
      <xdr:rowOff>108858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62570F7D-D7D7-F098-8C88-81959BBF56F7}"/>
            </a:ext>
          </a:extLst>
        </xdr:cNvPr>
        <xdr:cNvCxnSpPr>
          <a:stCxn id="31" idx="6"/>
          <a:endCxn id="38" idx="2"/>
        </xdr:cNvCxnSpPr>
      </xdr:nvCxnSpPr>
      <xdr:spPr>
        <a:xfrm>
          <a:off x="1850571" y="2136321"/>
          <a:ext cx="2128156" cy="11185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522514</xdr:colOff>
      <xdr:row>11</xdr:row>
      <xdr:rowOff>95250</xdr:rowOff>
    </xdr:from>
    <xdr:to>
      <xdr:col>6</xdr:col>
      <xdr:colOff>54426</xdr:colOff>
      <xdr:row>17</xdr:row>
      <xdr:rowOff>78921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3F012628-F78B-5F3F-1027-887865F32D7F}"/>
            </a:ext>
          </a:extLst>
        </xdr:cNvPr>
        <xdr:cNvCxnSpPr>
          <a:stCxn id="32" idx="6"/>
          <a:endCxn id="37" idx="2"/>
        </xdr:cNvCxnSpPr>
      </xdr:nvCxnSpPr>
      <xdr:spPr>
        <a:xfrm flipV="1">
          <a:off x="1828800" y="2130879"/>
          <a:ext cx="2144483" cy="109401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522514</xdr:colOff>
      <xdr:row>5</xdr:row>
      <xdr:rowOff>111577</xdr:rowOff>
    </xdr:from>
    <xdr:to>
      <xdr:col>6</xdr:col>
      <xdr:colOff>21772</xdr:colOff>
      <xdr:row>17</xdr:row>
      <xdr:rowOff>78921</xdr:rowOff>
    </xdr:to>
    <xdr:cxnSp macro="">
      <xdr:nvCxnSpPr>
        <xdr:cNvPr id="19" name="Прямая соединительная линия 18">
          <a:extLst>
            <a:ext uri="{FF2B5EF4-FFF2-40B4-BE49-F238E27FC236}">
              <a16:creationId xmlns:a16="http://schemas.microsoft.com/office/drawing/2014/main" id="{746DFBF9-F090-8284-EB71-D35E4719C79E}"/>
            </a:ext>
          </a:extLst>
        </xdr:cNvPr>
        <xdr:cNvCxnSpPr>
          <a:stCxn id="32" idx="6"/>
          <a:endCxn id="36" idx="2"/>
        </xdr:cNvCxnSpPr>
      </xdr:nvCxnSpPr>
      <xdr:spPr>
        <a:xfrm flipV="1">
          <a:off x="1828800" y="1036863"/>
          <a:ext cx="2111829" cy="218802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48985</xdr:colOff>
      <xdr:row>4</xdr:row>
      <xdr:rowOff>5443</xdr:rowOff>
    </xdr:from>
    <xdr:to>
      <xdr:col>10</xdr:col>
      <xdr:colOff>609599</xdr:colOff>
      <xdr:row>6</xdr:row>
      <xdr:rowOff>174170</xdr:rowOff>
    </xdr:to>
    <xdr:sp macro="" textlink="">
      <xdr:nvSpPr>
        <xdr:cNvPr id="52" name="Овал 51">
          <a:extLst>
            <a:ext uri="{FF2B5EF4-FFF2-40B4-BE49-F238E27FC236}">
              <a16:creationId xmlns:a16="http://schemas.microsoft.com/office/drawing/2014/main" id="{30B571A5-E05B-4725-8D21-300A9D6DE632}"/>
            </a:ext>
          </a:extLst>
        </xdr:cNvPr>
        <xdr:cNvSpPr/>
      </xdr:nvSpPr>
      <xdr:spPr>
        <a:xfrm>
          <a:off x="6580414" y="745672"/>
          <a:ext cx="560614" cy="53884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10</xdr:col>
      <xdr:colOff>27212</xdr:colOff>
      <xdr:row>9</xdr:row>
      <xdr:rowOff>179614</xdr:rowOff>
    </xdr:from>
    <xdr:to>
      <xdr:col>10</xdr:col>
      <xdr:colOff>636814</xdr:colOff>
      <xdr:row>13</xdr:row>
      <xdr:rowOff>32656</xdr:rowOff>
    </xdr:to>
    <xdr:sp macro="" textlink="">
      <xdr:nvSpPr>
        <xdr:cNvPr id="53" name="Овал 52">
          <a:extLst>
            <a:ext uri="{FF2B5EF4-FFF2-40B4-BE49-F238E27FC236}">
              <a16:creationId xmlns:a16="http://schemas.microsoft.com/office/drawing/2014/main" id="{A804B555-ACAA-4127-9119-DFE69FB7C02F}"/>
            </a:ext>
          </a:extLst>
        </xdr:cNvPr>
        <xdr:cNvSpPr/>
      </xdr:nvSpPr>
      <xdr:spPr>
        <a:xfrm>
          <a:off x="6558641" y="1845128"/>
          <a:ext cx="609602" cy="593271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10</xdr:col>
      <xdr:colOff>38099</xdr:colOff>
      <xdr:row>15</xdr:row>
      <xdr:rowOff>157844</xdr:rowOff>
    </xdr:from>
    <xdr:to>
      <xdr:col>10</xdr:col>
      <xdr:colOff>642257</xdr:colOff>
      <xdr:row>19</xdr:row>
      <xdr:rowOff>32655</xdr:rowOff>
    </xdr:to>
    <xdr:sp macro="" textlink="">
      <xdr:nvSpPr>
        <xdr:cNvPr id="54" name="Овал 53">
          <a:extLst>
            <a:ext uri="{FF2B5EF4-FFF2-40B4-BE49-F238E27FC236}">
              <a16:creationId xmlns:a16="http://schemas.microsoft.com/office/drawing/2014/main" id="{36706F12-0773-4381-AF13-BEB3EDEADD40}"/>
            </a:ext>
          </a:extLst>
        </xdr:cNvPr>
        <xdr:cNvSpPr/>
      </xdr:nvSpPr>
      <xdr:spPr>
        <a:xfrm>
          <a:off x="6569528" y="2933701"/>
          <a:ext cx="604158" cy="61504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1</xdr:colOff>
      <xdr:row>5</xdr:row>
      <xdr:rowOff>89807</xdr:rowOff>
    </xdr:from>
    <xdr:to>
      <xdr:col>10</xdr:col>
      <xdr:colOff>48985</xdr:colOff>
      <xdr:row>5</xdr:row>
      <xdr:rowOff>111577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36DDC143-D5E0-FE68-42B5-8A7FE8BB99FC}"/>
            </a:ext>
          </a:extLst>
        </xdr:cNvPr>
        <xdr:cNvCxnSpPr>
          <a:stCxn id="36" idx="6"/>
          <a:endCxn id="52" idx="2"/>
        </xdr:cNvCxnSpPr>
      </xdr:nvCxnSpPr>
      <xdr:spPr>
        <a:xfrm flipV="1">
          <a:off x="4572001" y="1015093"/>
          <a:ext cx="2008413" cy="217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</xdr:row>
      <xdr:rowOff>111577</xdr:rowOff>
    </xdr:from>
    <xdr:to>
      <xdr:col>10</xdr:col>
      <xdr:colOff>27212</xdr:colOff>
      <xdr:row>11</xdr:row>
      <xdr:rowOff>106135</xdr:rowOff>
    </xdr:to>
    <xdr:cxnSp macro="">
      <xdr:nvCxnSpPr>
        <xdr:cNvPr id="58" name="Прямая соединительная линия 57">
          <a:extLst>
            <a:ext uri="{FF2B5EF4-FFF2-40B4-BE49-F238E27FC236}">
              <a16:creationId xmlns:a16="http://schemas.microsoft.com/office/drawing/2014/main" id="{F72C1E67-2B5B-E8F7-B44B-1046BFB641FC}"/>
            </a:ext>
          </a:extLst>
        </xdr:cNvPr>
        <xdr:cNvCxnSpPr>
          <a:stCxn id="36" idx="6"/>
          <a:endCxn id="53" idx="2"/>
        </xdr:cNvCxnSpPr>
      </xdr:nvCxnSpPr>
      <xdr:spPr>
        <a:xfrm>
          <a:off x="4572001" y="1036863"/>
          <a:ext cx="1986640" cy="110490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</xdr:colOff>
      <xdr:row>5</xdr:row>
      <xdr:rowOff>111577</xdr:rowOff>
    </xdr:from>
    <xdr:to>
      <xdr:col>10</xdr:col>
      <xdr:colOff>38099</xdr:colOff>
      <xdr:row>17</xdr:row>
      <xdr:rowOff>95250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79AB857C-8487-B0CB-BB04-7CAA0039BCC1}"/>
            </a:ext>
          </a:extLst>
        </xdr:cNvPr>
        <xdr:cNvCxnSpPr>
          <a:stCxn id="36" idx="6"/>
          <a:endCxn id="54" idx="2"/>
        </xdr:cNvCxnSpPr>
      </xdr:nvCxnSpPr>
      <xdr:spPr>
        <a:xfrm>
          <a:off x="4572001" y="1036863"/>
          <a:ext cx="1997527" cy="22043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609599</xdr:colOff>
      <xdr:row>5</xdr:row>
      <xdr:rowOff>89807</xdr:rowOff>
    </xdr:from>
    <xdr:to>
      <xdr:col>10</xdr:col>
      <xdr:colOff>48985</xdr:colOff>
      <xdr:row>11</xdr:row>
      <xdr:rowOff>95250</xdr:rowOff>
    </xdr:to>
    <xdr:cxnSp macro="">
      <xdr:nvCxnSpPr>
        <xdr:cNvPr id="62" name="Прямая соединительная линия 61">
          <a:extLst>
            <a:ext uri="{FF2B5EF4-FFF2-40B4-BE49-F238E27FC236}">
              <a16:creationId xmlns:a16="http://schemas.microsoft.com/office/drawing/2014/main" id="{D9C46DA6-5F2D-DB8E-B1A6-37EF284B94EE}"/>
            </a:ext>
          </a:extLst>
        </xdr:cNvPr>
        <xdr:cNvCxnSpPr>
          <a:stCxn id="37" idx="6"/>
          <a:endCxn id="52" idx="2"/>
        </xdr:cNvCxnSpPr>
      </xdr:nvCxnSpPr>
      <xdr:spPr>
        <a:xfrm flipV="1">
          <a:off x="4528456" y="1015093"/>
          <a:ext cx="2051958" cy="11157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609599</xdr:colOff>
      <xdr:row>11</xdr:row>
      <xdr:rowOff>95250</xdr:rowOff>
    </xdr:from>
    <xdr:to>
      <xdr:col>10</xdr:col>
      <xdr:colOff>27212</xdr:colOff>
      <xdr:row>11</xdr:row>
      <xdr:rowOff>106135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91C23501-C87C-A71F-88FC-B4553035FC01}"/>
            </a:ext>
          </a:extLst>
        </xdr:cNvPr>
        <xdr:cNvCxnSpPr>
          <a:stCxn id="37" idx="6"/>
          <a:endCxn id="53" idx="2"/>
        </xdr:cNvCxnSpPr>
      </xdr:nvCxnSpPr>
      <xdr:spPr>
        <a:xfrm>
          <a:off x="4528456" y="2130879"/>
          <a:ext cx="2030185" cy="108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609599</xdr:colOff>
      <xdr:row>11</xdr:row>
      <xdr:rowOff>95250</xdr:rowOff>
    </xdr:from>
    <xdr:to>
      <xdr:col>10</xdr:col>
      <xdr:colOff>38099</xdr:colOff>
      <xdr:row>17</xdr:row>
      <xdr:rowOff>95250</xdr:rowOff>
    </xdr:to>
    <xdr:cxnSp macro="">
      <xdr:nvCxnSpPr>
        <xdr:cNvPr id="66" name="Прямая соединительная линия 65">
          <a:extLst>
            <a:ext uri="{FF2B5EF4-FFF2-40B4-BE49-F238E27FC236}">
              <a16:creationId xmlns:a16="http://schemas.microsoft.com/office/drawing/2014/main" id="{A3DCD5C4-3B9E-0CEE-43F9-2EC8D3A15864}"/>
            </a:ext>
          </a:extLst>
        </xdr:cNvPr>
        <xdr:cNvCxnSpPr>
          <a:stCxn id="37" idx="6"/>
          <a:endCxn id="54" idx="2"/>
        </xdr:cNvCxnSpPr>
      </xdr:nvCxnSpPr>
      <xdr:spPr>
        <a:xfrm>
          <a:off x="4528456" y="2130879"/>
          <a:ext cx="2041072" cy="11103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636815</xdr:colOff>
      <xdr:row>5</xdr:row>
      <xdr:rowOff>89807</xdr:rowOff>
    </xdr:from>
    <xdr:to>
      <xdr:col>10</xdr:col>
      <xdr:colOff>48985</xdr:colOff>
      <xdr:row>17</xdr:row>
      <xdr:rowOff>108858</xdr:rowOff>
    </xdr:to>
    <xdr:cxnSp macro="">
      <xdr:nvCxnSpPr>
        <xdr:cNvPr id="68" name="Прямая соединительная линия 67">
          <a:extLst>
            <a:ext uri="{FF2B5EF4-FFF2-40B4-BE49-F238E27FC236}">
              <a16:creationId xmlns:a16="http://schemas.microsoft.com/office/drawing/2014/main" id="{BB133B8E-700C-7689-E63C-108524BB71C5}"/>
            </a:ext>
          </a:extLst>
        </xdr:cNvPr>
        <xdr:cNvCxnSpPr>
          <a:stCxn id="38" idx="6"/>
          <a:endCxn id="52" idx="2"/>
        </xdr:cNvCxnSpPr>
      </xdr:nvCxnSpPr>
      <xdr:spPr>
        <a:xfrm flipV="1">
          <a:off x="4555672" y="1015093"/>
          <a:ext cx="2024742" cy="22397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636815</xdr:colOff>
      <xdr:row>11</xdr:row>
      <xdr:rowOff>106135</xdr:rowOff>
    </xdr:from>
    <xdr:to>
      <xdr:col>10</xdr:col>
      <xdr:colOff>27212</xdr:colOff>
      <xdr:row>17</xdr:row>
      <xdr:rowOff>108858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03A4AE60-DB65-C2CD-545C-26DB440BD642}"/>
            </a:ext>
          </a:extLst>
        </xdr:cNvPr>
        <xdr:cNvCxnSpPr>
          <a:stCxn id="38" idx="6"/>
          <a:endCxn id="53" idx="2"/>
        </xdr:cNvCxnSpPr>
      </xdr:nvCxnSpPr>
      <xdr:spPr>
        <a:xfrm flipV="1">
          <a:off x="4555672" y="2141764"/>
          <a:ext cx="2002969" cy="111306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636815</xdr:colOff>
      <xdr:row>17</xdr:row>
      <xdr:rowOff>95250</xdr:rowOff>
    </xdr:from>
    <xdr:to>
      <xdr:col>10</xdr:col>
      <xdr:colOff>38099</xdr:colOff>
      <xdr:row>17</xdr:row>
      <xdr:rowOff>108858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905257E3-C836-134F-FD67-6415893A52BD}"/>
            </a:ext>
          </a:extLst>
        </xdr:cNvPr>
        <xdr:cNvCxnSpPr>
          <a:stCxn id="38" idx="6"/>
          <a:endCxn id="54" idx="2"/>
        </xdr:cNvCxnSpPr>
      </xdr:nvCxnSpPr>
      <xdr:spPr>
        <a:xfrm flipV="1">
          <a:off x="4555672" y="3241221"/>
          <a:ext cx="2013856" cy="136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609599</xdr:colOff>
      <xdr:row>5</xdr:row>
      <xdr:rowOff>89807</xdr:rowOff>
    </xdr:from>
    <xdr:to>
      <xdr:col>14</xdr:col>
      <xdr:colOff>70756</xdr:colOff>
      <xdr:row>7</xdr:row>
      <xdr:rowOff>111579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BBD8C618-D1D6-B88C-BFF7-622BB7742B53}"/>
            </a:ext>
          </a:extLst>
        </xdr:cNvPr>
        <xdr:cNvCxnSpPr>
          <a:stCxn id="52" idx="6"/>
          <a:endCxn id="42" idx="2"/>
        </xdr:cNvCxnSpPr>
      </xdr:nvCxnSpPr>
      <xdr:spPr>
        <a:xfrm>
          <a:off x="7141028" y="1015093"/>
          <a:ext cx="2073728" cy="3918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609599</xdr:colOff>
      <xdr:row>5</xdr:row>
      <xdr:rowOff>89807</xdr:rowOff>
    </xdr:from>
    <xdr:to>
      <xdr:col>14</xdr:col>
      <xdr:colOff>59871</xdr:colOff>
      <xdr:row>15</xdr:row>
      <xdr:rowOff>117021</xdr:rowOff>
    </xdr:to>
    <xdr:cxnSp macro="">
      <xdr:nvCxnSpPr>
        <xdr:cNvPr id="76" name="Прямая соединительная линия 75">
          <a:extLst>
            <a:ext uri="{FF2B5EF4-FFF2-40B4-BE49-F238E27FC236}">
              <a16:creationId xmlns:a16="http://schemas.microsoft.com/office/drawing/2014/main" id="{629D20AD-CEE6-B017-018D-F209B2B8D063}"/>
            </a:ext>
          </a:extLst>
        </xdr:cNvPr>
        <xdr:cNvCxnSpPr>
          <a:stCxn id="52" idx="6"/>
          <a:endCxn id="44" idx="2"/>
        </xdr:cNvCxnSpPr>
      </xdr:nvCxnSpPr>
      <xdr:spPr>
        <a:xfrm>
          <a:off x="7141028" y="1015093"/>
          <a:ext cx="2062843" cy="18777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636814</xdr:colOff>
      <xdr:row>7</xdr:row>
      <xdr:rowOff>111579</xdr:rowOff>
    </xdr:from>
    <xdr:to>
      <xdr:col>14</xdr:col>
      <xdr:colOff>70756</xdr:colOff>
      <xdr:row>11</xdr:row>
      <xdr:rowOff>106135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D022474D-9B03-86F5-315E-A38E1044F3FB}"/>
            </a:ext>
          </a:extLst>
        </xdr:cNvPr>
        <xdr:cNvCxnSpPr>
          <a:stCxn id="53" idx="6"/>
          <a:endCxn id="42" idx="2"/>
        </xdr:cNvCxnSpPr>
      </xdr:nvCxnSpPr>
      <xdr:spPr>
        <a:xfrm flipV="1">
          <a:off x="7168243" y="1406979"/>
          <a:ext cx="2046513" cy="73478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636814</xdr:colOff>
      <xdr:row>11</xdr:row>
      <xdr:rowOff>106135</xdr:rowOff>
    </xdr:from>
    <xdr:to>
      <xdr:col>14</xdr:col>
      <xdr:colOff>59871</xdr:colOff>
      <xdr:row>15</xdr:row>
      <xdr:rowOff>117021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58C2AE0A-084D-0F66-F7B9-B88875E072C7}"/>
            </a:ext>
          </a:extLst>
        </xdr:cNvPr>
        <xdr:cNvCxnSpPr>
          <a:stCxn id="53" idx="6"/>
          <a:endCxn id="44" idx="2"/>
        </xdr:cNvCxnSpPr>
      </xdr:nvCxnSpPr>
      <xdr:spPr>
        <a:xfrm>
          <a:off x="7168243" y="2141764"/>
          <a:ext cx="2035628" cy="7511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642257</xdr:colOff>
      <xdr:row>7</xdr:row>
      <xdr:rowOff>111579</xdr:rowOff>
    </xdr:from>
    <xdr:to>
      <xdr:col>14</xdr:col>
      <xdr:colOff>70756</xdr:colOff>
      <xdr:row>17</xdr:row>
      <xdr:rowOff>95250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1E94DA7F-ECE3-24A9-4F32-27083EA15F8B}"/>
            </a:ext>
          </a:extLst>
        </xdr:cNvPr>
        <xdr:cNvCxnSpPr>
          <a:stCxn id="54" idx="6"/>
          <a:endCxn id="42" idx="2"/>
        </xdr:cNvCxnSpPr>
      </xdr:nvCxnSpPr>
      <xdr:spPr>
        <a:xfrm flipV="1">
          <a:off x="7173686" y="1406979"/>
          <a:ext cx="2041070" cy="183424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642257</xdr:colOff>
      <xdr:row>15</xdr:row>
      <xdr:rowOff>117021</xdr:rowOff>
    </xdr:from>
    <xdr:to>
      <xdr:col>14</xdr:col>
      <xdr:colOff>59871</xdr:colOff>
      <xdr:row>17</xdr:row>
      <xdr:rowOff>95250</xdr:rowOff>
    </xdr:to>
    <xdr:cxnSp macro="">
      <xdr:nvCxnSpPr>
        <xdr:cNvPr id="84" name="Прямая соединительная линия 83">
          <a:extLst>
            <a:ext uri="{FF2B5EF4-FFF2-40B4-BE49-F238E27FC236}">
              <a16:creationId xmlns:a16="http://schemas.microsoft.com/office/drawing/2014/main" id="{333C92BE-27FD-CBB1-FDD9-04E1633A063D}"/>
            </a:ext>
          </a:extLst>
        </xdr:cNvPr>
        <xdr:cNvCxnSpPr>
          <a:stCxn id="54" idx="6"/>
          <a:endCxn id="44" idx="2"/>
        </xdr:cNvCxnSpPr>
      </xdr:nvCxnSpPr>
      <xdr:spPr>
        <a:xfrm flipV="1">
          <a:off x="7173686" y="2892878"/>
          <a:ext cx="2030185" cy="34834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130628</xdr:colOff>
      <xdr:row>5</xdr:row>
      <xdr:rowOff>97971</xdr:rowOff>
    </xdr:from>
    <xdr:to>
      <xdr:col>2</xdr:col>
      <xdr:colOff>533400</xdr:colOff>
      <xdr:row>7</xdr:row>
      <xdr:rowOff>136071</xdr:rowOff>
    </xdr:to>
    <xdr:sp macro="" textlink="">
      <xdr:nvSpPr>
        <xdr:cNvPr id="2" name="Овал 1">
          <a:extLst>
            <a:ext uri="{FF2B5EF4-FFF2-40B4-BE49-F238E27FC236}">
              <a16:creationId xmlns:a16="http://schemas.microsoft.com/office/drawing/2014/main" id="{75E8046A-4095-47FD-8F7B-5E1F66CBDDD4}"/>
            </a:ext>
          </a:extLst>
        </xdr:cNvPr>
        <xdr:cNvSpPr/>
      </xdr:nvSpPr>
      <xdr:spPr>
        <a:xfrm>
          <a:off x="1436914" y="1023257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141513</xdr:colOff>
      <xdr:row>9</xdr:row>
      <xdr:rowOff>81642</xdr:rowOff>
    </xdr:from>
    <xdr:to>
      <xdr:col>2</xdr:col>
      <xdr:colOff>544285</xdr:colOff>
      <xdr:row>11</xdr:row>
      <xdr:rowOff>119742</xdr:rowOff>
    </xdr:to>
    <xdr:sp macro="" textlink="">
      <xdr:nvSpPr>
        <xdr:cNvPr id="3" name="Овал 2">
          <a:extLst>
            <a:ext uri="{FF2B5EF4-FFF2-40B4-BE49-F238E27FC236}">
              <a16:creationId xmlns:a16="http://schemas.microsoft.com/office/drawing/2014/main" id="{3511845B-A973-4592-A18D-6F0B2CEAA8B9}"/>
            </a:ext>
          </a:extLst>
        </xdr:cNvPr>
        <xdr:cNvSpPr/>
      </xdr:nvSpPr>
      <xdr:spPr>
        <a:xfrm>
          <a:off x="1447799" y="1747156"/>
          <a:ext cx="402772" cy="4082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136071</xdr:colOff>
      <xdr:row>13</xdr:row>
      <xdr:rowOff>97971</xdr:rowOff>
    </xdr:from>
    <xdr:to>
      <xdr:col>2</xdr:col>
      <xdr:colOff>538843</xdr:colOff>
      <xdr:row>15</xdr:row>
      <xdr:rowOff>136070</xdr:rowOff>
    </xdr:to>
    <xdr:sp macro="" textlink="">
      <xdr:nvSpPr>
        <xdr:cNvPr id="4" name="Овал 3">
          <a:extLst>
            <a:ext uri="{FF2B5EF4-FFF2-40B4-BE49-F238E27FC236}">
              <a16:creationId xmlns:a16="http://schemas.microsoft.com/office/drawing/2014/main" id="{D4AF485B-7081-4B9B-89F8-85540B8A9C6D}"/>
            </a:ext>
          </a:extLst>
        </xdr:cNvPr>
        <xdr:cNvSpPr/>
      </xdr:nvSpPr>
      <xdr:spPr>
        <a:xfrm>
          <a:off x="1442357" y="2503714"/>
          <a:ext cx="402772" cy="4245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125186</xdr:colOff>
      <xdr:row>17</xdr:row>
      <xdr:rowOff>87085</xdr:rowOff>
    </xdr:from>
    <xdr:to>
      <xdr:col>2</xdr:col>
      <xdr:colOff>527958</xdr:colOff>
      <xdr:row>19</xdr:row>
      <xdr:rowOff>125185</xdr:rowOff>
    </xdr:to>
    <xdr:sp macro="" textlink="">
      <xdr:nvSpPr>
        <xdr:cNvPr id="5" name="Овал 4">
          <a:extLst>
            <a:ext uri="{FF2B5EF4-FFF2-40B4-BE49-F238E27FC236}">
              <a16:creationId xmlns:a16="http://schemas.microsoft.com/office/drawing/2014/main" id="{7F905B5B-9B67-4B74-837E-43D551210E0A}"/>
            </a:ext>
          </a:extLst>
        </xdr:cNvPr>
        <xdr:cNvSpPr/>
      </xdr:nvSpPr>
      <xdr:spPr>
        <a:xfrm>
          <a:off x="1431472" y="3249385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27214</xdr:colOff>
      <xdr:row>7</xdr:row>
      <xdr:rowOff>125186</xdr:rowOff>
    </xdr:from>
    <xdr:to>
      <xdr:col>7</xdr:col>
      <xdr:colOff>642257</xdr:colOff>
      <xdr:row>11</xdr:row>
      <xdr:rowOff>59871</xdr:rowOff>
    </xdr:to>
    <xdr:sp macro="" textlink="">
      <xdr:nvSpPr>
        <xdr:cNvPr id="6" name="Овал 5">
          <a:extLst>
            <a:ext uri="{FF2B5EF4-FFF2-40B4-BE49-F238E27FC236}">
              <a16:creationId xmlns:a16="http://schemas.microsoft.com/office/drawing/2014/main" id="{B0AB4062-AF4F-45D4-88EB-A500822A59DE}"/>
            </a:ext>
          </a:extLst>
        </xdr:cNvPr>
        <xdr:cNvSpPr/>
      </xdr:nvSpPr>
      <xdr:spPr>
        <a:xfrm>
          <a:off x="4599214" y="1420586"/>
          <a:ext cx="615043" cy="6749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54428</xdr:colOff>
      <xdr:row>13</xdr:row>
      <xdr:rowOff>168728</xdr:rowOff>
    </xdr:from>
    <xdr:to>
      <xdr:col>7</xdr:col>
      <xdr:colOff>615042</xdr:colOff>
      <xdr:row>17</xdr:row>
      <xdr:rowOff>21770</xdr:rowOff>
    </xdr:to>
    <xdr:sp macro="" textlink="">
      <xdr:nvSpPr>
        <xdr:cNvPr id="7" name="Овал 6">
          <a:extLst>
            <a:ext uri="{FF2B5EF4-FFF2-40B4-BE49-F238E27FC236}">
              <a16:creationId xmlns:a16="http://schemas.microsoft.com/office/drawing/2014/main" id="{63AE914E-7A14-423E-ABA5-12A81B981937}"/>
            </a:ext>
          </a:extLst>
        </xdr:cNvPr>
        <xdr:cNvSpPr/>
      </xdr:nvSpPr>
      <xdr:spPr>
        <a:xfrm>
          <a:off x="4626428" y="2574471"/>
          <a:ext cx="560614" cy="6095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533400</xdr:colOff>
      <xdr:row>6</xdr:row>
      <xdr:rowOff>117021</xdr:rowOff>
    </xdr:from>
    <xdr:to>
      <xdr:col>7</xdr:col>
      <xdr:colOff>117285</xdr:colOff>
      <xdr:row>8</xdr:row>
      <xdr:rowOff>38967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539FC537-BBFC-4426-AA78-4D9865E40586}"/>
            </a:ext>
          </a:extLst>
        </xdr:cNvPr>
        <xdr:cNvCxnSpPr>
          <a:stCxn id="2" idx="6"/>
          <a:endCxn id="6" idx="1"/>
        </xdr:cNvCxnSpPr>
      </xdr:nvCxnSpPr>
      <xdr:spPr>
        <a:xfrm>
          <a:off x="1839686" y="1227364"/>
          <a:ext cx="2849599" cy="292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474415</xdr:colOff>
      <xdr:row>7</xdr:row>
      <xdr:rowOff>76289</xdr:rowOff>
    </xdr:from>
    <xdr:to>
      <xdr:col>7</xdr:col>
      <xdr:colOff>136528</xdr:colOff>
      <xdr:row>14</xdr:row>
      <xdr:rowOff>70554</xdr:rowOff>
    </xdr:to>
    <xdr:cxnSp macro="">
      <xdr:nvCxnSpPr>
        <xdr:cNvPr id="9" name="Прямая соединительная линия 8">
          <a:extLst>
            <a:ext uri="{FF2B5EF4-FFF2-40B4-BE49-F238E27FC236}">
              <a16:creationId xmlns:a16="http://schemas.microsoft.com/office/drawing/2014/main" id="{53CA27EB-9AFF-4A15-A70D-3E70F520B29F}"/>
            </a:ext>
          </a:extLst>
        </xdr:cNvPr>
        <xdr:cNvCxnSpPr>
          <a:stCxn id="2" idx="5"/>
          <a:endCxn id="7" idx="1"/>
        </xdr:cNvCxnSpPr>
      </xdr:nvCxnSpPr>
      <xdr:spPr>
        <a:xfrm>
          <a:off x="1780701" y="1371689"/>
          <a:ext cx="2927827" cy="13059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9</xdr:row>
      <xdr:rowOff>92528</xdr:rowOff>
    </xdr:from>
    <xdr:to>
      <xdr:col>7</xdr:col>
      <xdr:colOff>27214</xdr:colOff>
      <xdr:row>10</xdr:row>
      <xdr:rowOff>100692</xdr:rowOff>
    </xdr:to>
    <xdr:cxnSp macro="">
      <xdr:nvCxnSpPr>
        <xdr:cNvPr id="10" name="Прямая соединительная линия 9">
          <a:extLst>
            <a:ext uri="{FF2B5EF4-FFF2-40B4-BE49-F238E27FC236}">
              <a16:creationId xmlns:a16="http://schemas.microsoft.com/office/drawing/2014/main" id="{B200544F-47E3-4EFE-855F-52618464D4FF}"/>
            </a:ext>
          </a:extLst>
        </xdr:cNvPr>
        <xdr:cNvCxnSpPr>
          <a:stCxn id="3" idx="6"/>
          <a:endCxn id="6" idx="2"/>
        </xdr:cNvCxnSpPr>
      </xdr:nvCxnSpPr>
      <xdr:spPr>
        <a:xfrm flipV="1">
          <a:off x="1850571" y="1758042"/>
          <a:ext cx="2748643" cy="193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485300</xdr:colOff>
      <xdr:row>11</xdr:row>
      <xdr:rowOff>59960</xdr:rowOff>
    </xdr:from>
    <xdr:to>
      <xdr:col>7</xdr:col>
      <xdr:colOff>54428</xdr:colOff>
      <xdr:row>15</xdr:row>
      <xdr:rowOff>95249</xdr:rowOff>
    </xdr:to>
    <xdr:cxnSp macro="">
      <xdr:nvCxnSpPr>
        <xdr:cNvPr id="11" name="Прямая соединительная линия 10">
          <a:extLst>
            <a:ext uri="{FF2B5EF4-FFF2-40B4-BE49-F238E27FC236}">
              <a16:creationId xmlns:a16="http://schemas.microsoft.com/office/drawing/2014/main" id="{4420CBE9-B7AF-49AD-96CA-C15EF1EA54B7}"/>
            </a:ext>
          </a:extLst>
        </xdr:cNvPr>
        <xdr:cNvCxnSpPr>
          <a:stCxn id="3" idx="5"/>
          <a:endCxn id="7" idx="2"/>
        </xdr:cNvCxnSpPr>
      </xdr:nvCxnSpPr>
      <xdr:spPr>
        <a:xfrm>
          <a:off x="1791586" y="2095589"/>
          <a:ext cx="2834842" cy="7918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479858</xdr:colOff>
      <xdr:row>10</xdr:row>
      <xdr:rowOff>146089</xdr:rowOff>
    </xdr:from>
    <xdr:to>
      <xdr:col>7</xdr:col>
      <xdr:colOff>117285</xdr:colOff>
      <xdr:row>13</xdr:row>
      <xdr:rowOff>157753</xdr:rowOff>
    </xdr:to>
    <xdr:cxnSp macro="">
      <xdr:nvCxnSpPr>
        <xdr:cNvPr id="12" name="Прямая соединительная линия 11">
          <a:extLst>
            <a:ext uri="{FF2B5EF4-FFF2-40B4-BE49-F238E27FC236}">
              <a16:creationId xmlns:a16="http://schemas.microsoft.com/office/drawing/2014/main" id="{494F766A-9DAB-4A2A-A684-66876235B4BC}"/>
            </a:ext>
          </a:extLst>
        </xdr:cNvPr>
        <xdr:cNvCxnSpPr>
          <a:stCxn id="4" idx="7"/>
          <a:endCxn id="6" idx="3"/>
        </xdr:cNvCxnSpPr>
      </xdr:nvCxnSpPr>
      <xdr:spPr>
        <a:xfrm flipV="1">
          <a:off x="1786144" y="1996660"/>
          <a:ext cx="2903141" cy="5668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538843</xdr:colOff>
      <xdr:row>14</xdr:row>
      <xdr:rowOff>117021</xdr:rowOff>
    </xdr:from>
    <xdr:to>
      <xdr:col>7</xdr:col>
      <xdr:colOff>136528</xdr:colOff>
      <xdr:row>16</xdr:row>
      <xdr:rowOff>119944</xdr:rowOff>
    </xdr:to>
    <xdr:cxnSp macro="">
      <xdr:nvCxnSpPr>
        <xdr:cNvPr id="13" name="Прямая соединительная линия 12">
          <a:extLst>
            <a:ext uri="{FF2B5EF4-FFF2-40B4-BE49-F238E27FC236}">
              <a16:creationId xmlns:a16="http://schemas.microsoft.com/office/drawing/2014/main" id="{B3D88FB4-5247-4642-9319-0856C3E307D6}"/>
            </a:ext>
          </a:extLst>
        </xdr:cNvPr>
        <xdr:cNvCxnSpPr>
          <a:stCxn id="4" idx="6"/>
          <a:endCxn id="7" idx="3"/>
        </xdr:cNvCxnSpPr>
      </xdr:nvCxnSpPr>
      <xdr:spPr>
        <a:xfrm>
          <a:off x="1845129" y="2724150"/>
          <a:ext cx="2863399" cy="3730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468973</xdr:colOff>
      <xdr:row>11</xdr:row>
      <xdr:rowOff>59871</xdr:rowOff>
    </xdr:from>
    <xdr:to>
      <xdr:col>7</xdr:col>
      <xdr:colOff>334736</xdr:colOff>
      <xdr:row>17</xdr:row>
      <xdr:rowOff>146867</xdr:rowOff>
    </xdr:to>
    <xdr:cxnSp macro="">
      <xdr:nvCxnSpPr>
        <xdr:cNvPr id="14" name="Прямая соединительная линия 13">
          <a:extLst>
            <a:ext uri="{FF2B5EF4-FFF2-40B4-BE49-F238E27FC236}">
              <a16:creationId xmlns:a16="http://schemas.microsoft.com/office/drawing/2014/main" id="{74D72C3E-E3E9-4384-B17E-C8228CF1599B}"/>
            </a:ext>
          </a:extLst>
        </xdr:cNvPr>
        <xdr:cNvCxnSpPr>
          <a:cxnSpLocks/>
          <a:stCxn id="5" idx="7"/>
          <a:endCxn id="6" idx="4"/>
        </xdr:cNvCxnSpPr>
      </xdr:nvCxnSpPr>
      <xdr:spPr>
        <a:xfrm flipV="1">
          <a:off x="1775259" y="2095500"/>
          <a:ext cx="3131477" cy="12136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527958</xdr:colOff>
      <xdr:row>17</xdr:row>
      <xdr:rowOff>21770</xdr:rowOff>
    </xdr:from>
    <xdr:to>
      <xdr:col>7</xdr:col>
      <xdr:colOff>334735</xdr:colOff>
      <xdr:row>18</xdr:row>
      <xdr:rowOff>106135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D3DA4725-0261-4870-9746-1E76B048B00F}"/>
            </a:ext>
          </a:extLst>
        </xdr:cNvPr>
        <xdr:cNvCxnSpPr>
          <a:cxnSpLocks/>
          <a:stCxn id="5" idx="6"/>
          <a:endCxn id="7" idx="4"/>
        </xdr:cNvCxnSpPr>
      </xdr:nvCxnSpPr>
      <xdr:spPr>
        <a:xfrm flipV="1">
          <a:off x="1834244" y="3184070"/>
          <a:ext cx="3072491" cy="2694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130628</xdr:colOff>
      <xdr:row>31</xdr:row>
      <xdr:rowOff>97971</xdr:rowOff>
    </xdr:from>
    <xdr:to>
      <xdr:col>2</xdr:col>
      <xdr:colOff>533400</xdr:colOff>
      <xdr:row>33</xdr:row>
      <xdr:rowOff>136071</xdr:rowOff>
    </xdr:to>
    <xdr:sp macro="" textlink="">
      <xdr:nvSpPr>
        <xdr:cNvPr id="16" name="Овал 15">
          <a:extLst>
            <a:ext uri="{FF2B5EF4-FFF2-40B4-BE49-F238E27FC236}">
              <a16:creationId xmlns:a16="http://schemas.microsoft.com/office/drawing/2014/main" id="{FC875FB2-2F79-47C8-95C7-5917181A64CD}"/>
            </a:ext>
          </a:extLst>
        </xdr:cNvPr>
        <xdr:cNvSpPr/>
      </xdr:nvSpPr>
      <xdr:spPr>
        <a:xfrm>
          <a:off x="1436914" y="1023257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141513</xdr:colOff>
      <xdr:row>35</xdr:row>
      <xdr:rowOff>81642</xdr:rowOff>
    </xdr:from>
    <xdr:to>
      <xdr:col>2</xdr:col>
      <xdr:colOff>544285</xdr:colOff>
      <xdr:row>37</xdr:row>
      <xdr:rowOff>119742</xdr:rowOff>
    </xdr:to>
    <xdr:sp macro="" textlink="">
      <xdr:nvSpPr>
        <xdr:cNvPr id="17" name="Овал 16">
          <a:extLst>
            <a:ext uri="{FF2B5EF4-FFF2-40B4-BE49-F238E27FC236}">
              <a16:creationId xmlns:a16="http://schemas.microsoft.com/office/drawing/2014/main" id="{E8C47239-22F3-4245-AB6C-0E5979339976}"/>
            </a:ext>
          </a:extLst>
        </xdr:cNvPr>
        <xdr:cNvSpPr/>
      </xdr:nvSpPr>
      <xdr:spPr>
        <a:xfrm>
          <a:off x="1447799" y="1747156"/>
          <a:ext cx="402772" cy="408215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136071</xdr:colOff>
      <xdr:row>39</xdr:row>
      <xdr:rowOff>97971</xdr:rowOff>
    </xdr:from>
    <xdr:to>
      <xdr:col>2</xdr:col>
      <xdr:colOff>538843</xdr:colOff>
      <xdr:row>41</xdr:row>
      <xdr:rowOff>136070</xdr:rowOff>
    </xdr:to>
    <xdr:sp macro="" textlink="">
      <xdr:nvSpPr>
        <xdr:cNvPr id="18" name="Овал 17">
          <a:extLst>
            <a:ext uri="{FF2B5EF4-FFF2-40B4-BE49-F238E27FC236}">
              <a16:creationId xmlns:a16="http://schemas.microsoft.com/office/drawing/2014/main" id="{40774E08-44F7-4516-B4FE-068BA3A7FA69}"/>
            </a:ext>
          </a:extLst>
        </xdr:cNvPr>
        <xdr:cNvSpPr/>
      </xdr:nvSpPr>
      <xdr:spPr>
        <a:xfrm>
          <a:off x="1442357" y="2503714"/>
          <a:ext cx="402772" cy="424542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125186</xdr:colOff>
      <xdr:row>43</xdr:row>
      <xdr:rowOff>87085</xdr:rowOff>
    </xdr:from>
    <xdr:to>
      <xdr:col>2</xdr:col>
      <xdr:colOff>527958</xdr:colOff>
      <xdr:row>45</xdr:row>
      <xdr:rowOff>125185</xdr:rowOff>
    </xdr:to>
    <xdr:sp macro="" textlink="">
      <xdr:nvSpPr>
        <xdr:cNvPr id="19" name="Овал 18">
          <a:extLst>
            <a:ext uri="{FF2B5EF4-FFF2-40B4-BE49-F238E27FC236}">
              <a16:creationId xmlns:a16="http://schemas.microsoft.com/office/drawing/2014/main" id="{B639D411-F393-46AE-A8A0-9F23319ABB42}"/>
            </a:ext>
          </a:extLst>
        </xdr:cNvPr>
        <xdr:cNvSpPr/>
      </xdr:nvSpPr>
      <xdr:spPr>
        <a:xfrm>
          <a:off x="1431472" y="3249385"/>
          <a:ext cx="402772" cy="4082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27214</xdr:colOff>
      <xdr:row>33</xdr:row>
      <xdr:rowOff>125186</xdr:rowOff>
    </xdr:from>
    <xdr:to>
      <xdr:col>7</xdr:col>
      <xdr:colOff>642257</xdr:colOff>
      <xdr:row>37</xdr:row>
      <xdr:rowOff>59871</xdr:rowOff>
    </xdr:to>
    <xdr:sp macro="" textlink="">
      <xdr:nvSpPr>
        <xdr:cNvPr id="20" name="Овал 19">
          <a:extLst>
            <a:ext uri="{FF2B5EF4-FFF2-40B4-BE49-F238E27FC236}">
              <a16:creationId xmlns:a16="http://schemas.microsoft.com/office/drawing/2014/main" id="{F1436F91-D6B2-4F81-8B7C-F7D39ABA2CCA}"/>
            </a:ext>
          </a:extLst>
        </xdr:cNvPr>
        <xdr:cNvSpPr/>
      </xdr:nvSpPr>
      <xdr:spPr>
        <a:xfrm>
          <a:off x="4599214" y="1420586"/>
          <a:ext cx="615043" cy="6749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7</xdr:col>
      <xdr:colOff>54428</xdr:colOff>
      <xdr:row>39</xdr:row>
      <xdr:rowOff>168728</xdr:rowOff>
    </xdr:from>
    <xdr:to>
      <xdr:col>7</xdr:col>
      <xdr:colOff>615042</xdr:colOff>
      <xdr:row>43</xdr:row>
      <xdr:rowOff>21770</xdr:rowOff>
    </xdr:to>
    <xdr:sp macro="" textlink="">
      <xdr:nvSpPr>
        <xdr:cNvPr id="21" name="Овал 20">
          <a:extLst>
            <a:ext uri="{FF2B5EF4-FFF2-40B4-BE49-F238E27FC236}">
              <a16:creationId xmlns:a16="http://schemas.microsoft.com/office/drawing/2014/main" id="{270022EB-E3F6-40BB-B92B-3AAC71C68AF3}"/>
            </a:ext>
          </a:extLst>
        </xdr:cNvPr>
        <xdr:cNvSpPr/>
      </xdr:nvSpPr>
      <xdr:spPr>
        <a:xfrm>
          <a:off x="4626428" y="2574471"/>
          <a:ext cx="560614" cy="609599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>
            <a:noFill/>
          </a:endParaRPr>
        </a:p>
      </xdr:txBody>
    </xdr:sp>
    <xdr:clientData/>
  </xdr:twoCellAnchor>
  <xdr:twoCellAnchor>
    <xdr:from>
      <xdr:col>2</xdr:col>
      <xdr:colOff>533400</xdr:colOff>
      <xdr:row>32</xdr:row>
      <xdr:rowOff>117021</xdr:rowOff>
    </xdr:from>
    <xdr:to>
      <xdr:col>7</xdr:col>
      <xdr:colOff>117285</xdr:colOff>
      <xdr:row>34</xdr:row>
      <xdr:rowOff>38967</xdr:rowOff>
    </xdr:to>
    <xdr:cxnSp macro="">
      <xdr:nvCxnSpPr>
        <xdr:cNvPr id="22" name="Прямая соединительная линия 21">
          <a:extLst>
            <a:ext uri="{FF2B5EF4-FFF2-40B4-BE49-F238E27FC236}">
              <a16:creationId xmlns:a16="http://schemas.microsoft.com/office/drawing/2014/main" id="{320964B1-1A74-472A-B75C-3AACF002404E}"/>
            </a:ext>
          </a:extLst>
        </xdr:cNvPr>
        <xdr:cNvCxnSpPr>
          <a:stCxn id="16" idx="6"/>
          <a:endCxn id="20" idx="1"/>
        </xdr:cNvCxnSpPr>
      </xdr:nvCxnSpPr>
      <xdr:spPr>
        <a:xfrm>
          <a:off x="1839686" y="1227364"/>
          <a:ext cx="2849599" cy="292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474415</xdr:colOff>
      <xdr:row>33</xdr:row>
      <xdr:rowOff>76289</xdr:rowOff>
    </xdr:from>
    <xdr:to>
      <xdr:col>7</xdr:col>
      <xdr:colOff>136528</xdr:colOff>
      <xdr:row>40</xdr:row>
      <xdr:rowOff>70554</xdr:rowOff>
    </xdr:to>
    <xdr:cxnSp macro="">
      <xdr:nvCxnSpPr>
        <xdr:cNvPr id="23" name="Прямая соединительная линия 22">
          <a:extLst>
            <a:ext uri="{FF2B5EF4-FFF2-40B4-BE49-F238E27FC236}">
              <a16:creationId xmlns:a16="http://schemas.microsoft.com/office/drawing/2014/main" id="{FDCDE887-05AF-4E33-B6AA-6421B8759435}"/>
            </a:ext>
          </a:extLst>
        </xdr:cNvPr>
        <xdr:cNvCxnSpPr>
          <a:stCxn id="16" idx="5"/>
          <a:endCxn id="21" idx="1"/>
        </xdr:cNvCxnSpPr>
      </xdr:nvCxnSpPr>
      <xdr:spPr>
        <a:xfrm>
          <a:off x="1780701" y="1371689"/>
          <a:ext cx="2927827" cy="13059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544285</xdr:colOff>
      <xdr:row>35</xdr:row>
      <xdr:rowOff>92528</xdr:rowOff>
    </xdr:from>
    <xdr:to>
      <xdr:col>7</xdr:col>
      <xdr:colOff>27214</xdr:colOff>
      <xdr:row>36</xdr:row>
      <xdr:rowOff>100692</xdr:rowOff>
    </xdr:to>
    <xdr:cxnSp macro="">
      <xdr:nvCxnSpPr>
        <xdr:cNvPr id="24" name="Прямая соединительная линия 23">
          <a:extLst>
            <a:ext uri="{FF2B5EF4-FFF2-40B4-BE49-F238E27FC236}">
              <a16:creationId xmlns:a16="http://schemas.microsoft.com/office/drawing/2014/main" id="{4A13F303-2B99-49FA-94A6-FBD6ADA1A709}"/>
            </a:ext>
          </a:extLst>
        </xdr:cNvPr>
        <xdr:cNvCxnSpPr>
          <a:stCxn id="17" idx="6"/>
          <a:endCxn id="20" idx="2"/>
        </xdr:cNvCxnSpPr>
      </xdr:nvCxnSpPr>
      <xdr:spPr>
        <a:xfrm flipV="1">
          <a:off x="1850571" y="1758042"/>
          <a:ext cx="2748643" cy="19322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485300</xdr:colOff>
      <xdr:row>37</xdr:row>
      <xdr:rowOff>59960</xdr:rowOff>
    </xdr:from>
    <xdr:to>
      <xdr:col>7</xdr:col>
      <xdr:colOff>54428</xdr:colOff>
      <xdr:row>41</xdr:row>
      <xdr:rowOff>95249</xdr:rowOff>
    </xdr:to>
    <xdr:cxnSp macro="">
      <xdr:nvCxnSpPr>
        <xdr:cNvPr id="25" name="Прямая соединительная линия 24">
          <a:extLst>
            <a:ext uri="{FF2B5EF4-FFF2-40B4-BE49-F238E27FC236}">
              <a16:creationId xmlns:a16="http://schemas.microsoft.com/office/drawing/2014/main" id="{AD67D1BD-9517-4562-8DCE-9B0D9D425B99}"/>
            </a:ext>
          </a:extLst>
        </xdr:cNvPr>
        <xdr:cNvCxnSpPr>
          <a:stCxn id="17" idx="5"/>
          <a:endCxn id="21" idx="2"/>
        </xdr:cNvCxnSpPr>
      </xdr:nvCxnSpPr>
      <xdr:spPr>
        <a:xfrm>
          <a:off x="1791586" y="2095589"/>
          <a:ext cx="2834842" cy="7918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479858</xdr:colOff>
      <xdr:row>36</xdr:row>
      <xdr:rowOff>146089</xdr:rowOff>
    </xdr:from>
    <xdr:to>
      <xdr:col>7</xdr:col>
      <xdr:colOff>117285</xdr:colOff>
      <xdr:row>39</xdr:row>
      <xdr:rowOff>157753</xdr:rowOff>
    </xdr:to>
    <xdr:cxnSp macro="">
      <xdr:nvCxnSpPr>
        <xdr:cNvPr id="26" name="Прямая соединительная линия 25">
          <a:extLst>
            <a:ext uri="{FF2B5EF4-FFF2-40B4-BE49-F238E27FC236}">
              <a16:creationId xmlns:a16="http://schemas.microsoft.com/office/drawing/2014/main" id="{7DB15440-28A8-4B51-B6D4-252754605D0F}"/>
            </a:ext>
          </a:extLst>
        </xdr:cNvPr>
        <xdr:cNvCxnSpPr>
          <a:stCxn id="18" idx="7"/>
          <a:endCxn id="20" idx="3"/>
        </xdr:cNvCxnSpPr>
      </xdr:nvCxnSpPr>
      <xdr:spPr>
        <a:xfrm flipV="1">
          <a:off x="1786144" y="1996660"/>
          <a:ext cx="2903141" cy="56683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538843</xdr:colOff>
      <xdr:row>40</xdr:row>
      <xdr:rowOff>117021</xdr:rowOff>
    </xdr:from>
    <xdr:to>
      <xdr:col>7</xdr:col>
      <xdr:colOff>136528</xdr:colOff>
      <xdr:row>42</xdr:row>
      <xdr:rowOff>119944</xdr:rowOff>
    </xdr:to>
    <xdr:cxnSp macro="">
      <xdr:nvCxnSpPr>
        <xdr:cNvPr id="27" name="Прямая соединительная линия 26">
          <a:extLst>
            <a:ext uri="{FF2B5EF4-FFF2-40B4-BE49-F238E27FC236}">
              <a16:creationId xmlns:a16="http://schemas.microsoft.com/office/drawing/2014/main" id="{3083A40A-3C42-4BAA-8AE3-E1AB379C68DA}"/>
            </a:ext>
          </a:extLst>
        </xdr:cNvPr>
        <xdr:cNvCxnSpPr>
          <a:stCxn id="18" idx="6"/>
          <a:endCxn id="21" idx="3"/>
        </xdr:cNvCxnSpPr>
      </xdr:nvCxnSpPr>
      <xdr:spPr>
        <a:xfrm>
          <a:off x="1845129" y="2724150"/>
          <a:ext cx="2863399" cy="37303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468973</xdr:colOff>
      <xdr:row>37</xdr:row>
      <xdr:rowOff>59871</xdr:rowOff>
    </xdr:from>
    <xdr:to>
      <xdr:col>7</xdr:col>
      <xdr:colOff>334736</xdr:colOff>
      <xdr:row>43</xdr:row>
      <xdr:rowOff>146867</xdr:rowOff>
    </xdr:to>
    <xdr:cxnSp macro="">
      <xdr:nvCxnSpPr>
        <xdr:cNvPr id="28" name="Прямая соединительная линия 27">
          <a:extLst>
            <a:ext uri="{FF2B5EF4-FFF2-40B4-BE49-F238E27FC236}">
              <a16:creationId xmlns:a16="http://schemas.microsoft.com/office/drawing/2014/main" id="{1465AE67-3947-4F7E-BA19-AAAA46CD7624}"/>
            </a:ext>
          </a:extLst>
        </xdr:cNvPr>
        <xdr:cNvCxnSpPr>
          <a:cxnSpLocks/>
          <a:stCxn id="19" idx="7"/>
          <a:endCxn id="20" idx="4"/>
        </xdr:cNvCxnSpPr>
      </xdr:nvCxnSpPr>
      <xdr:spPr>
        <a:xfrm flipV="1">
          <a:off x="1775259" y="2095500"/>
          <a:ext cx="3131477" cy="121366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527958</xdr:colOff>
      <xdr:row>43</xdr:row>
      <xdr:rowOff>21770</xdr:rowOff>
    </xdr:from>
    <xdr:to>
      <xdr:col>7</xdr:col>
      <xdr:colOff>334735</xdr:colOff>
      <xdr:row>44</xdr:row>
      <xdr:rowOff>106135</xdr:rowOff>
    </xdr:to>
    <xdr:cxnSp macro="">
      <xdr:nvCxnSpPr>
        <xdr:cNvPr id="29" name="Прямая соединительная линия 28">
          <a:extLst>
            <a:ext uri="{FF2B5EF4-FFF2-40B4-BE49-F238E27FC236}">
              <a16:creationId xmlns:a16="http://schemas.microsoft.com/office/drawing/2014/main" id="{ECA9172F-50E4-45E6-91D5-619952FAB886}"/>
            </a:ext>
          </a:extLst>
        </xdr:cNvPr>
        <xdr:cNvCxnSpPr>
          <a:cxnSpLocks/>
          <a:stCxn id="19" idx="6"/>
          <a:endCxn id="21" idx="4"/>
        </xdr:cNvCxnSpPr>
      </xdr:nvCxnSpPr>
      <xdr:spPr>
        <a:xfrm flipV="1">
          <a:off x="1834244" y="3184070"/>
          <a:ext cx="3072491" cy="26942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3703EE-AFC0-4DE7-93DE-9190DD7B02FB}" autoFormatId="16" applyNumberFormats="0" applyBorderFormats="0" applyFontFormats="0" applyPatternFormats="0" applyAlignmentFormats="0" applyWidthHeightFormats="0">
  <queryTableRefresh nextId="5">
    <queryTableFields count="4">
      <queryTableField id="1" name="Название товара" tableColumnId="1"/>
      <queryTableField id="2" name="Цена" tableColumnId="2"/>
      <queryTableField id="3" name="Бренд" tableColumnId="3"/>
      <queryTableField id="4" name="Категория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F1FC90B-B985-443F-8C3E-BB26560866B7}" autoFormatId="16" applyNumberFormats="0" applyBorderFormats="0" applyFontFormats="0" applyPatternFormats="0" applyAlignmentFormats="0" applyWidthHeightFormats="0">
  <queryTableRefresh nextId="5">
    <queryTableFields count="4">
      <queryTableField id="1" name="Название" tableColumnId="1"/>
      <queryTableField id="2" name="Цена" tableColumnId="2"/>
      <queryTableField id="3" name="Имя основного жанра книги" tableColumnId="3"/>
      <queryTableField id="4" name="Имя первого жанра книги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2B5DC0-4093-4B19-B76E-FD28A45F704D}" autoFormatId="16" applyNumberFormats="0" applyBorderFormats="0" applyFontFormats="0" applyPatternFormats="0" applyAlignmentFormats="0" applyWidthHeightFormats="0">
  <queryTableRefresh nextId="7">
    <queryTableFields count="6">
      <queryTableField id="1" name="Month/Year" tableColumnId="1"/>
      <queryTableField id="2" name="New Price ($)" tableColumnId="2"/>
      <queryTableField id="3" name="Used Price ($)" tableColumnId="3"/>
      <queryTableField id="4" name="Inflation Rate (%)" tableColumnId="4"/>
      <queryTableField id="5" name="Interest Rate (%)" tableColumnId="5"/>
      <queryTableField id="6" name="Units Sol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47974F-2058-42DB-83B7-BC51998B5B3B}" name="Таблица_Document" displayName="Таблица_Document" ref="A1:D21" tableType="queryTable" totalsRowShown="0">
  <autoFilter ref="A1:D21" xr:uid="{EC47974F-2058-42DB-83B7-BC51998B5B3B}"/>
  <tableColumns count="4">
    <tableColumn id="1" xr3:uid="{E795B890-3486-4E32-9EC9-E66170DEDE5D}" uniqueName="1" name="Название товара" queryTableFieldId="1" dataDxfId="8"/>
    <tableColumn id="2" xr3:uid="{A152EC7E-F7C9-4164-9F55-7C6E22BD8B0F}" uniqueName="2" name="Цена" queryTableFieldId="2"/>
    <tableColumn id="3" xr3:uid="{99274A3E-5F98-4F93-B270-05FD4C919EDC}" uniqueName="3" name="Бренд" queryTableFieldId="3" dataDxfId="7"/>
    <tableColumn id="4" xr3:uid="{705E4FB5-F91A-43AE-A988-9C5E1D2E3409}" uniqueName="4" name="Категория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B70857-5E59-4007-A413-A0CD567948D0}" name="Таблица_Document__2" displayName="Таблица_Document__2" ref="A1:D45" tableType="queryTable" totalsRowShown="0">
  <autoFilter ref="A1:D45" xr:uid="{ACB70857-5E59-4007-A413-A0CD567948D0}"/>
  <tableColumns count="4">
    <tableColumn id="1" xr3:uid="{DE97AE82-66CA-427E-9B65-21EB318D5201}" uniqueName="1" name="Название" queryTableFieldId="1" dataDxfId="5"/>
    <tableColumn id="2" xr3:uid="{96E042ED-1422-4A9A-82DD-079D4C69F681}" uniqueName="2" name="Цена" queryTableFieldId="2"/>
    <tableColumn id="3" xr3:uid="{53F69A36-D7F1-4024-9650-9E15F9FCE025}" uniqueName="3" name="Имя основного жанра книги" queryTableFieldId="3" dataDxfId="4"/>
    <tableColumn id="4" xr3:uid="{9E7057E1-1307-4502-A0CF-58BCD86F8140}" uniqueName="4" name="Имя первого жанра книги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31A380-5078-4F7F-84E0-87EC062F2232}" name="Таблица_automobile_prices_economics_2019_2023" displayName="Таблица_automobile_prices_economics_2019_2023" ref="A1:F62" tableType="queryTable" totalsRowShown="0">
  <autoFilter ref="A1:F62" xr:uid="{7731A380-5078-4F7F-84E0-87EC062F2232}"/>
  <tableColumns count="6">
    <tableColumn id="1" xr3:uid="{AE15BCFF-659E-4BF8-BBA8-C41A5DBFAE62}" uniqueName="1" name="Month/Year" queryTableFieldId="1" dataDxfId="2"/>
    <tableColumn id="2" xr3:uid="{0DA67A2F-5EC2-49B3-903E-FF8B46F072DF}" uniqueName="2" name="New Price ($)" queryTableFieldId="2"/>
    <tableColumn id="3" xr3:uid="{BDBA40AF-FB29-4489-863F-00B734BD9771}" uniqueName="3" name="Used Price ($)" queryTableFieldId="3"/>
    <tableColumn id="4" xr3:uid="{82268F5D-344E-41F3-B57C-6F32DE8121C1}" uniqueName="4" name="Inflation Rate (%)" queryTableFieldId="4" dataDxfId="1"/>
    <tableColumn id="5" xr3:uid="{2C5D4FD4-9871-475F-9465-40AE28579D65}" uniqueName="5" name="Interest Rate (%)" queryTableFieldId="5" dataDxfId="0"/>
    <tableColumn id="6" xr3:uid="{149074CB-2B4E-4049-AF24-DCEE346A98FE}" uniqueName="6" name="Units Sol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5014-785C-4F0F-BEFD-644A0FF243D6}">
  <dimension ref="A1:D21"/>
  <sheetViews>
    <sheetView zoomScale="102" workbookViewId="0">
      <selection activeCell="G26" sqref="G26"/>
    </sheetView>
  </sheetViews>
  <sheetFormatPr defaultRowHeight="14.6" x14ac:dyDescent="0.4"/>
  <cols>
    <col min="1" max="1" width="44.84375" bestFit="1" customWidth="1"/>
    <col min="2" max="2" width="7.4609375" bestFit="1" customWidth="1"/>
    <col min="3" max="3" width="9.4609375" bestFit="1" customWidth="1"/>
    <col min="4" max="4" width="34.53515625" bestFit="1" customWidth="1"/>
  </cols>
  <sheetData>
    <row r="1" spans="1:4" x14ac:dyDescent="0.4">
      <c r="A1" t="s">
        <v>64</v>
      </c>
      <c r="B1" t="s">
        <v>65</v>
      </c>
      <c r="C1" t="s">
        <v>66</v>
      </c>
      <c r="D1" t="s">
        <v>67</v>
      </c>
    </row>
    <row r="2" spans="1:4" x14ac:dyDescent="0.4">
      <c r="A2" t="s">
        <v>68</v>
      </c>
      <c r="B2">
        <v>25</v>
      </c>
      <c r="C2" t="s">
        <v>69</v>
      </c>
      <c r="D2" t="s">
        <v>70</v>
      </c>
    </row>
    <row r="3" spans="1:4" x14ac:dyDescent="0.4">
      <c r="A3" t="s">
        <v>71</v>
      </c>
      <c r="B3">
        <v>69</v>
      </c>
      <c r="C3" t="s">
        <v>69</v>
      </c>
      <c r="D3" t="s">
        <v>70</v>
      </c>
    </row>
    <row r="4" spans="1:4" x14ac:dyDescent="0.4">
      <c r="A4" t="s">
        <v>72</v>
      </c>
      <c r="B4">
        <v>149</v>
      </c>
      <c r="C4" t="s">
        <v>69</v>
      </c>
      <c r="D4" t="s">
        <v>70</v>
      </c>
    </row>
    <row r="5" spans="1:4" x14ac:dyDescent="0.4">
      <c r="A5" t="s">
        <v>73</v>
      </c>
      <c r="B5">
        <v>449</v>
      </c>
      <c r="C5" t="s">
        <v>69</v>
      </c>
      <c r="D5" t="s">
        <v>70</v>
      </c>
    </row>
    <row r="6" spans="1:4" x14ac:dyDescent="0.4">
      <c r="A6" t="s">
        <v>74</v>
      </c>
      <c r="B6">
        <v>25</v>
      </c>
      <c r="C6" t="s">
        <v>69</v>
      </c>
      <c r="D6" t="s">
        <v>70</v>
      </c>
    </row>
    <row r="7" spans="1:4" x14ac:dyDescent="0.4">
      <c r="A7" t="s">
        <v>75</v>
      </c>
      <c r="B7">
        <v>49</v>
      </c>
      <c r="C7" t="s">
        <v>69</v>
      </c>
      <c r="D7" t="s">
        <v>70</v>
      </c>
    </row>
    <row r="8" spans="1:4" x14ac:dyDescent="0.4">
      <c r="A8" t="s">
        <v>74</v>
      </c>
      <c r="B8">
        <v>149</v>
      </c>
      <c r="C8" t="s">
        <v>69</v>
      </c>
      <c r="D8" t="s">
        <v>70</v>
      </c>
    </row>
    <row r="9" spans="1:4" x14ac:dyDescent="0.4">
      <c r="A9" t="s">
        <v>76</v>
      </c>
      <c r="B9">
        <v>199</v>
      </c>
      <c r="C9" t="s">
        <v>69</v>
      </c>
      <c r="D9" t="s">
        <v>70</v>
      </c>
    </row>
    <row r="10" spans="1:4" x14ac:dyDescent="0.4">
      <c r="A10" t="s">
        <v>68</v>
      </c>
      <c r="B10">
        <v>69</v>
      </c>
      <c r="C10" t="s">
        <v>69</v>
      </c>
      <c r="D10" t="s">
        <v>70</v>
      </c>
    </row>
    <row r="11" spans="1:4" x14ac:dyDescent="0.4">
      <c r="A11" t="s">
        <v>74</v>
      </c>
      <c r="B11">
        <v>225</v>
      </c>
      <c r="C11" t="s">
        <v>69</v>
      </c>
      <c r="D11" t="s">
        <v>70</v>
      </c>
    </row>
    <row r="12" spans="1:4" x14ac:dyDescent="0.4">
      <c r="A12" t="s">
        <v>75</v>
      </c>
      <c r="B12">
        <v>165</v>
      </c>
      <c r="C12" t="s">
        <v>69</v>
      </c>
      <c r="D12" t="s">
        <v>70</v>
      </c>
    </row>
    <row r="13" spans="1:4" x14ac:dyDescent="0.4">
      <c r="A13" t="s">
        <v>77</v>
      </c>
      <c r="B13">
        <v>149</v>
      </c>
      <c r="C13" t="s">
        <v>69</v>
      </c>
      <c r="D13" t="s">
        <v>70</v>
      </c>
    </row>
    <row r="14" spans="1:4" x14ac:dyDescent="0.4">
      <c r="A14" t="s">
        <v>78</v>
      </c>
      <c r="B14">
        <v>395</v>
      </c>
      <c r="C14" t="s">
        <v>69</v>
      </c>
      <c r="D14" t="s">
        <v>70</v>
      </c>
    </row>
    <row r="15" spans="1:4" x14ac:dyDescent="0.4">
      <c r="A15" t="s">
        <v>78</v>
      </c>
      <c r="B15">
        <v>149</v>
      </c>
      <c r="C15" t="s">
        <v>69</v>
      </c>
      <c r="D15" t="s">
        <v>70</v>
      </c>
    </row>
    <row r="16" spans="1:4" x14ac:dyDescent="0.4">
      <c r="A16" t="s">
        <v>79</v>
      </c>
      <c r="B16">
        <v>99</v>
      </c>
      <c r="C16" t="s">
        <v>69</v>
      </c>
      <c r="D16" t="s">
        <v>70</v>
      </c>
    </row>
    <row r="17" spans="1:4" x14ac:dyDescent="0.4">
      <c r="A17" t="s">
        <v>74</v>
      </c>
      <c r="B17">
        <v>69</v>
      </c>
      <c r="C17" t="s">
        <v>69</v>
      </c>
      <c r="D17" t="s">
        <v>70</v>
      </c>
    </row>
    <row r="18" spans="1:4" x14ac:dyDescent="0.4">
      <c r="A18" t="s">
        <v>75</v>
      </c>
      <c r="B18">
        <v>49</v>
      </c>
      <c r="C18" t="s">
        <v>69</v>
      </c>
      <c r="D18" t="s">
        <v>70</v>
      </c>
    </row>
    <row r="19" spans="1:4" x14ac:dyDescent="0.4">
      <c r="A19" t="s">
        <v>76</v>
      </c>
      <c r="B19">
        <v>199</v>
      </c>
      <c r="C19" t="s">
        <v>69</v>
      </c>
      <c r="D19" t="s">
        <v>70</v>
      </c>
    </row>
    <row r="20" spans="1:4" x14ac:dyDescent="0.4">
      <c r="A20" t="s">
        <v>80</v>
      </c>
      <c r="B20">
        <v>149</v>
      </c>
      <c r="C20" t="s">
        <v>69</v>
      </c>
      <c r="D20" t="s">
        <v>70</v>
      </c>
    </row>
    <row r="21" spans="1:4" x14ac:dyDescent="0.4">
      <c r="A21" t="s">
        <v>71</v>
      </c>
      <c r="B21">
        <v>99</v>
      </c>
      <c r="C21" t="s">
        <v>69</v>
      </c>
      <c r="D21" t="s">
        <v>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5764-0265-4CF6-A0F4-25CEC374DD6F}">
  <dimension ref="A1:D45"/>
  <sheetViews>
    <sheetView workbookViewId="0">
      <selection activeCell="K23" sqref="K23"/>
    </sheetView>
  </sheetViews>
  <sheetFormatPr defaultRowHeight="14.6" x14ac:dyDescent="0.4"/>
  <cols>
    <col min="1" max="1" width="37.15234375" bestFit="1" customWidth="1"/>
    <col min="2" max="2" width="7.4609375" bestFit="1" customWidth="1"/>
    <col min="3" max="3" width="35.765625" bestFit="1" customWidth="1"/>
    <col min="4" max="4" width="26" bestFit="1" customWidth="1"/>
  </cols>
  <sheetData>
    <row r="1" spans="1:4" x14ac:dyDescent="0.4">
      <c r="A1" t="s">
        <v>81</v>
      </c>
      <c r="B1" t="s">
        <v>65</v>
      </c>
      <c r="C1" t="s">
        <v>82</v>
      </c>
      <c r="D1" t="s">
        <v>83</v>
      </c>
    </row>
    <row r="2" spans="1:4" x14ac:dyDescent="0.4">
      <c r="A2" t="s">
        <v>84</v>
      </c>
      <c r="B2">
        <v>254</v>
      </c>
      <c r="C2" t="s">
        <v>85</v>
      </c>
      <c r="D2" t="s">
        <v>86</v>
      </c>
    </row>
    <row r="3" spans="1:4" x14ac:dyDescent="0.4">
      <c r="A3" t="s">
        <v>87</v>
      </c>
      <c r="B3">
        <v>254</v>
      </c>
      <c r="C3" t="s">
        <v>88</v>
      </c>
      <c r="D3" t="s">
        <v>86</v>
      </c>
    </row>
    <row r="4" spans="1:4" x14ac:dyDescent="0.4">
      <c r="A4" t="s">
        <v>89</v>
      </c>
      <c r="B4">
        <v>451</v>
      </c>
      <c r="C4" t="s">
        <v>88</v>
      </c>
      <c r="D4" t="s">
        <v>86</v>
      </c>
    </row>
    <row r="5" spans="1:4" x14ac:dyDescent="0.4">
      <c r="A5" t="s">
        <v>90</v>
      </c>
      <c r="B5">
        <v>451</v>
      </c>
      <c r="C5" t="s">
        <v>88</v>
      </c>
      <c r="D5" t="s">
        <v>86</v>
      </c>
    </row>
    <row r="6" spans="1:4" x14ac:dyDescent="0.4">
      <c r="A6" t="s">
        <v>91</v>
      </c>
      <c r="B6">
        <v>310</v>
      </c>
      <c r="C6" t="s">
        <v>88</v>
      </c>
      <c r="D6" t="s">
        <v>86</v>
      </c>
    </row>
    <row r="7" spans="1:4" x14ac:dyDescent="0.4">
      <c r="A7" t="s">
        <v>92</v>
      </c>
      <c r="B7">
        <v>311</v>
      </c>
      <c r="C7" t="s">
        <v>88</v>
      </c>
      <c r="D7" t="s">
        <v>86</v>
      </c>
    </row>
    <row r="8" spans="1:4" x14ac:dyDescent="0.4">
      <c r="A8" t="s">
        <v>93</v>
      </c>
      <c r="B8">
        <v>343</v>
      </c>
      <c r="C8" t="s">
        <v>88</v>
      </c>
      <c r="D8" t="s">
        <v>86</v>
      </c>
    </row>
    <row r="9" spans="1:4" x14ac:dyDescent="0.4">
      <c r="A9" t="s">
        <v>94</v>
      </c>
      <c r="B9">
        <v>343</v>
      </c>
      <c r="C9" t="s">
        <v>88</v>
      </c>
      <c r="D9" t="s">
        <v>86</v>
      </c>
    </row>
    <row r="10" spans="1:4" x14ac:dyDescent="0.4">
      <c r="A10" t="s">
        <v>95</v>
      </c>
      <c r="B10">
        <v>226</v>
      </c>
      <c r="C10" t="s">
        <v>96</v>
      </c>
      <c r="D10" t="s">
        <v>86</v>
      </c>
    </row>
    <row r="11" spans="1:4" x14ac:dyDescent="0.4">
      <c r="A11" t="s">
        <v>97</v>
      </c>
      <c r="B11">
        <v>254</v>
      </c>
      <c r="C11" t="s">
        <v>96</v>
      </c>
      <c r="D11" t="s">
        <v>86</v>
      </c>
    </row>
    <row r="12" spans="1:4" x14ac:dyDescent="0.4">
      <c r="A12" t="s">
        <v>98</v>
      </c>
      <c r="B12">
        <v>290</v>
      </c>
      <c r="C12" t="s">
        <v>96</v>
      </c>
      <c r="D12" t="s">
        <v>86</v>
      </c>
    </row>
    <row r="13" spans="1:4" x14ac:dyDescent="0.4">
      <c r="A13" t="s">
        <v>99</v>
      </c>
      <c r="B13">
        <v>226</v>
      </c>
      <c r="C13" t="s">
        <v>88</v>
      </c>
      <c r="D13" t="s">
        <v>86</v>
      </c>
    </row>
    <row r="14" spans="1:4" x14ac:dyDescent="0.4">
      <c r="A14" t="s">
        <v>100</v>
      </c>
      <c r="B14">
        <v>157</v>
      </c>
      <c r="C14" t="s">
        <v>88</v>
      </c>
      <c r="D14" t="s">
        <v>86</v>
      </c>
    </row>
    <row r="15" spans="1:4" x14ac:dyDescent="0.4">
      <c r="A15" t="s">
        <v>101</v>
      </c>
      <c r="B15">
        <v>419</v>
      </c>
      <c r="C15" t="s">
        <v>88</v>
      </c>
      <c r="D15" t="s">
        <v>86</v>
      </c>
    </row>
    <row r="16" spans="1:4" x14ac:dyDescent="0.4">
      <c r="A16" t="s">
        <v>102</v>
      </c>
      <c r="B16">
        <v>391</v>
      </c>
      <c r="C16" t="s">
        <v>88</v>
      </c>
      <c r="D16" t="s">
        <v>86</v>
      </c>
    </row>
    <row r="17" spans="1:4" x14ac:dyDescent="0.4">
      <c r="A17" t="s">
        <v>103</v>
      </c>
      <c r="B17">
        <v>338</v>
      </c>
      <c r="C17" t="s">
        <v>88</v>
      </c>
      <c r="D17" t="s">
        <v>86</v>
      </c>
    </row>
    <row r="18" spans="1:4" x14ac:dyDescent="0.4">
      <c r="A18" t="s">
        <v>104</v>
      </c>
      <c r="B18">
        <v>343</v>
      </c>
      <c r="C18" t="s">
        <v>88</v>
      </c>
      <c r="D18" t="s">
        <v>86</v>
      </c>
    </row>
    <row r="19" spans="1:4" x14ac:dyDescent="0.4">
      <c r="A19" t="s">
        <v>105</v>
      </c>
      <c r="B19">
        <v>343</v>
      </c>
      <c r="C19" t="s">
        <v>88</v>
      </c>
      <c r="D19" t="s">
        <v>86</v>
      </c>
    </row>
    <row r="20" spans="1:4" x14ac:dyDescent="0.4">
      <c r="A20" t="s">
        <v>106</v>
      </c>
      <c r="B20">
        <v>343</v>
      </c>
      <c r="C20" t="s">
        <v>88</v>
      </c>
      <c r="D20" t="s">
        <v>86</v>
      </c>
    </row>
    <row r="21" spans="1:4" x14ac:dyDescent="0.4">
      <c r="A21" t="s">
        <v>107</v>
      </c>
      <c r="B21">
        <v>343</v>
      </c>
      <c r="C21" t="s">
        <v>88</v>
      </c>
      <c r="D21" t="s">
        <v>86</v>
      </c>
    </row>
    <row r="22" spans="1:4" x14ac:dyDescent="0.4">
      <c r="A22" t="s">
        <v>108</v>
      </c>
      <c r="B22">
        <v>343</v>
      </c>
      <c r="C22" t="s">
        <v>88</v>
      </c>
      <c r="D22" t="s">
        <v>86</v>
      </c>
    </row>
    <row r="23" spans="1:4" x14ac:dyDescent="0.4">
      <c r="A23" t="s">
        <v>109</v>
      </c>
      <c r="B23">
        <v>354</v>
      </c>
      <c r="C23" t="s">
        <v>88</v>
      </c>
      <c r="D23" t="s">
        <v>86</v>
      </c>
    </row>
    <row r="24" spans="1:4" x14ac:dyDescent="0.4">
      <c r="A24" t="s">
        <v>84</v>
      </c>
      <c r="B24">
        <v>254</v>
      </c>
      <c r="C24" t="s">
        <v>85</v>
      </c>
      <c r="D24" t="s">
        <v>86</v>
      </c>
    </row>
    <row r="25" spans="1:4" x14ac:dyDescent="0.4">
      <c r="A25" t="s">
        <v>87</v>
      </c>
      <c r="B25">
        <v>254</v>
      </c>
      <c r="C25" t="s">
        <v>88</v>
      </c>
      <c r="D25" t="s">
        <v>86</v>
      </c>
    </row>
    <row r="26" spans="1:4" x14ac:dyDescent="0.4">
      <c r="A26" t="s">
        <v>97</v>
      </c>
      <c r="B26">
        <v>254</v>
      </c>
      <c r="C26" t="s">
        <v>96</v>
      </c>
      <c r="D26" t="s">
        <v>86</v>
      </c>
    </row>
    <row r="27" spans="1:4" x14ac:dyDescent="0.4">
      <c r="A27" t="s">
        <v>90</v>
      </c>
      <c r="B27">
        <v>451</v>
      </c>
      <c r="C27" t="s">
        <v>88</v>
      </c>
      <c r="D27" t="s">
        <v>86</v>
      </c>
    </row>
    <row r="28" spans="1:4" x14ac:dyDescent="0.4">
      <c r="A28" t="s">
        <v>98</v>
      </c>
      <c r="B28">
        <v>290</v>
      </c>
      <c r="C28" t="s">
        <v>96</v>
      </c>
      <c r="D28" t="s">
        <v>86</v>
      </c>
    </row>
    <row r="29" spans="1:4" x14ac:dyDescent="0.4">
      <c r="A29" t="s">
        <v>89</v>
      </c>
      <c r="B29">
        <v>451</v>
      </c>
      <c r="C29" t="s">
        <v>88</v>
      </c>
      <c r="D29" t="s">
        <v>86</v>
      </c>
    </row>
    <row r="30" spans="1:4" x14ac:dyDescent="0.4">
      <c r="A30" t="s">
        <v>99</v>
      </c>
      <c r="B30">
        <v>226</v>
      </c>
      <c r="C30" t="s">
        <v>88</v>
      </c>
      <c r="D30" t="s">
        <v>86</v>
      </c>
    </row>
    <row r="31" spans="1:4" x14ac:dyDescent="0.4">
      <c r="A31" t="s">
        <v>100</v>
      </c>
      <c r="B31">
        <v>157</v>
      </c>
      <c r="C31" t="s">
        <v>88</v>
      </c>
      <c r="D31" t="s">
        <v>86</v>
      </c>
    </row>
    <row r="32" spans="1:4" x14ac:dyDescent="0.4">
      <c r="A32" t="s">
        <v>101</v>
      </c>
      <c r="B32">
        <v>419</v>
      </c>
      <c r="C32" t="s">
        <v>88</v>
      </c>
      <c r="D32" t="s">
        <v>86</v>
      </c>
    </row>
    <row r="33" spans="1:4" x14ac:dyDescent="0.4">
      <c r="A33" t="s">
        <v>102</v>
      </c>
      <c r="B33">
        <v>391</v>
      </c>
      <c r="C33" t="s">
        <v>88</v>
      </c>
      <c r="D33" t="s">
        <v>86</v>
      </c>
    </row>
    <row r="34" spans="1:4" x14ac:dyDescent="0.4">
      <c r="A34" t="s">
        <v>103</v>
      </c>
      <c r="B34">
        <v>338</v>
      </c>
      <c r="C34" t="s">
        <v>88</v>
      </c>
      <c r="D34" t="s">
        <v>86</v>
      </c>
    </row>
    <row r="35" spans="1:4" x14ac:dyDescent="0.4">
      <c r="A35" t="s">
        <v>91</v>
      </c>
      <c r="B35">
        <v>310</v>
      </c>
      <c r="C35" t="s">
        <v>88</v>
      </c>
      <c r="D35" t="s">
        <v>86</v>
      </c>
    </row>
    <row r="36" spans="1:4" x14ac:dyDescent="0.4">
      <c r="A36" t="s">
        <v>95</v>
      </c>
      <c r="B36">
        <v>226</v>
      </c>
      <c r="C36" t="s">
        <v>96</v>
      </c>
      <c r="D36" t="s">
        <v>86</v>
      </c>
    </row>
    <row r="37" spans="1:4" x14ac:dyDescent="0.4">
      <c r="A37" t="s">
        <v>104</v>
      </c>
      <c r="B37">
        <v>343</v>
      </c>
      <c r="C37" t="s">
        <v>88</v>
      </c>
      <c r="D37" t="s">
        <v>86</v>
      </c>
    </row>
    <row r="38" spans="1:4" x14ac:dyDescent="0.4">
      <c r="A38" t="s">
        <v>94</v>
      </c>
      <c r="B38">
        <v>343</v>
      </c>
      <c r="C38" t="s">
        <v>88</v>
      </c>
      <c r="D38" t="s">
        <v>86</v>
      </c>
    </row>
    <row r="39" spans="1:4" x14ac:dyDescent="0.4">
      <c r="A39" t="s">
        <v>105</v>
      </c>
      <c r="B39">
        <v>343</v>
      </c>
      <c r="C39" t="s">
        <v>88</v>
      </c>
      <c r="D39" t="s">
        <v>86</v>
      </c>
    </row>
    <row r="40" spans="1:4" x14ac:dyDescent="0.4">
      <c r="A40" t="s">
        <v>106</v>
      </c>
      <c r="B40">
        <v>343</v>
      </c>
      <c r="C40" t="s">
        <v>88</v>
      </c>
      <c r="D40" t="s">
        <v>86</v>
      </c>
    </row>
    <row r="41" spans="1:4" x14ac:dyDescent="0.4">
      <c r="A41" t="s">
        <v>93</v>
      </c>
      <c r="B41">
        <v>343</v>
      </c>
      <c r="C41" t="s">
        <v>88</v>
      </c>
      <c r="D41" t="s">
        <v>86</v>
      </c>
    </row>
    <row r="42" spans="1:4" x14ac:dyDescent="0.4">
      <c r="A42" t="s">
        <v>107</v>
      </c>
      <c r="B42">
        <v>343</v>
      </c>
      <c r="C42" t="s">
        <v>88</v>
      </c>
      <c r="D42" t="s">
        <v>86</v>
      </c>
    </row>
    <row r="43" spans="1:4" x14ac:dyDescent="0.4">
      <c r="A43" t="s">
        <v>108</v>
      </c>
      <c r="B43">
        <v>343</v>
      </c>
      <c r="C43" t="s">
        <v>88</v>
      </c>
      <c r="D43" t="s">
        <v>86</v>
      </c>
    </row>
    <row r="44" spans="1:4" x14ac:dyDescent="0.4">
      <c r="A44" t="s">
        <v>109</v>
      </c>
      <c r="B44">
        <v>354</v>
      </c>
      <c r="C44" t="s">
        <v>88</v>
      </c>
      <c r="D44" t="s">
        <v>86</v>
      </c>
    </row>
    <row r="45" spans="1:4" x14ac:dyDescent="0.4">
      <c r="A45" t="s">
        <v>92</v>
      </c>
      <c r="B45">
        <v>311</v>
      </c>
      <c r="C45" t="s">
        <v>88</v>
      </c>
      <c r="D45" t="s">
        <v>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93E8-5555-41DC-9A20-D54DCD49DFCE}">
  <dimension ref="A1:F62"/>
  <sheetViews>
    <sheetView workbookViewId="0">
      <selection activeCell="H18" sqref="H18"/>
    </sheetView>
  </sheetViews>
  <sheetFormatPr defaultRowHeight="14.6" x14ac:dyDescent="0.4"/>
  <cols>
    <col min="1" max="1" width="13.3828125" bestFit="1" customWidth="1"/>
    <col min="2" max="2" width="14.07421875" bestFit="1" customWidth="1"/>
    <col min="3" max="3" width="14.4609375" bestFit="1" customWidth="1"/>
    <col min="4" max="4" width="17.61328125" bestFit="1" customWidth="1"/>
    <col min="5" max="5" width="17.07421875" bestFit="1" customWidth="1"/>
    <col min="6" max="6" width="11.382812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>
        <v>45676</v>
      </c>
      <c r="B2">
        <v>25</v>
      </c>
      <c r="C2">
        <v>18</v>
      </c>
      <c r="D2" t="s">
        <v>6</v>
      </c>
      <c r="E2" t="s">
        <v>7</v>
      </c>
      <c r="F2">
        <v>28.5</v>
      </c>
    </row>
    <row r="3" spans="1:6" x14ac:dyDescent="0.4">
      <c r="A3" s="1">
        <v>45707</v>
      </c>
      <c r="B3">
        <v>25</v>
      </c>
      <c r="C3">
        <v>17.899999999999999</v>
      </c>
      <c r="D3" t="s">
        <v>8</v>
      </c>
      <c r="E3" t="s">
        <v>7</v>
      </c>
      <c r="F3">
        <v>29</v>
      </c>
    </row>
    <row r="4" spans="1:6" x14ac:dyDescent="0.4">
      <c r="A4" s="1">
        <v>45735</v>
      </c>
      <c r="B4">
        <v>25</v>
      </c>
      <c r="C4">
        <v>17.8</v>
      </c>
      <c r="D4" t="s">
        <v>9</v>
      </c>
      <c r="E4" t="s">
        <v>7</v>
      </c>
      <c r="F4">
        <v>31.5</v>
      </c>
    </row>
    <row r="5" spans="1:6" x14ac:dyDescent="0.4">
      <c r="A5" s="1">
        <v>45766</v>
      </c>
      <c r="B5">
        <v>25</v>
      </c>
      <c r="C5">
        <v>17.7</v>
      </c>
      <c r="D5" t="s">
        <v>10</v>
      </c>
      <c r="E5" t="s">
        <v>7</v>
      </c>
      <c r="F5">
        <v>30</v>
      </c>
    </row>
    <row r="6" spans="1:6" x14ac:dyDescent="0.4">
      <c r="A6" s="1">
        <v>45796</v>
      </c>
      <c r="B6">
        <v>25</v>
      </c>
      <c r="C6">
        <v>17.600000000000001</v>
      </c>
      <c r="D6" t="s">
        <v>11</v>
      </c>
      <c r="E6" t="s">
        <v>7</v>
      </c>
      <c r="F6">
        <v>32</v>
      </c>
    </row>
    <row r="7" spans="1:6" x14ac:dyDescent="0.4">
      <c r="A7" s="1">
        <v>45827</v>
      </c>
      <c r="B7">
        <v>25</v>
      </c>
      <c r="C7">
        <v>17.5</v>
      </c>
      <c r="D7" t="s">
        <v>6</v>
      </c>
      <c r="E7" t="s">
        <v>7</v>
      </c>
      <c r="F7">
        <v>33</v>
      </c>
    </row>
    <row r="8" spans="1:6" x14ac:dyDescent="0.4">
      <c r="A8" s="1">
        <v>45857</v>
      </c>
      <c r="B8">
        <v>25</v>
      </c>
      <c r="C8">
        <v>17.399999999999999</v>
      </c>
      <c r="D8" t="s">
        <v>11</v>
      </c>
      <c r="E8" t="s">
        <v>7</v>
      </c>
      <c r="F8">
        <v>34.5</v>
      </c>
    </row>
    <row r="9" spans="1:6" x14ac:dyDescent="0.4">
      <c r="A9" s="1">
        <v>45888</v>
      </c>
      <c r="B9">
        <v>25</v>
      </c>
      <c r="C9">
        <v>17.3</v>
      </c>
      <c r="D9" t="s">
        <v>12</v>
      </c>
      <c r="E9" t="s">
        <v>7</v>
      </c>
      <c r="F9">
        <v>35</v>
      </c>
    </row>
    <row r="10" spans="1:6" x14ac:dyDescent="0.4">
      <c r="A10" s="1">
        <v>45919</v>
      </c>
      <c r="B10">
        <v>25</v>
      </c>
      <c r="C10">
        <v>17.2</v>
      </c>
      <c r="D10" t="s">
        <v>8</v>
      </c>
      <c r="E10" t="s">
        <v>7</v>
      </c>
      <c r="F10">
        <v>33.5</v>
      </c>
    </row>
    <row r="11" spans="1:6" x14ac:dyDescent="0.4">
      <c r="A11" s="1">
        <v>45949</v>
      </c>
      <c r="B11">
        <v>25</v>
      </c>
      <c r="C11">
        <v>17.100000000000001</v>
      </c>
      <c r="D11" t="s">
        <v>11</v>
      </c>
      <c r="E11" t="s">
        <v>7</v>
      </c>
      <c r="F11">
        <v>31</v>
      </c>
    </row>
    <row r="12" spans="1:6" x14ac:dyDescent="0.4">
      <c r="A12" s="1">
        <v>45980</v>
      </c>
      <c r="B12">
        <v>25</v>
      </c>
      <c r="C12">
        <v>17</v>
      </c>
      <c r="D12" t="s">
        <v>13</v>
      </c>
      <c r="E12" t="s">
        <v>7</v>
      </c>
      <c r="F12">
        <v>30</v>
      </c>
    </row>
    <row r="13" spans="1:6" x14ac:dyDescent="0.4">
      <c r="A13" s="1">
        <v>46010</v>
      </c>
      <c r="B13">
        <v>25</v>
      </c>
      <c r="C13">
        <v>16.899999999999999</v>
      </c>
      <c r="D13" t="s">
        <v>14</v>
      </c>
      <c r="E13" t="s">
        <v>7</v>
      </c>
      <c r="F13">
        <v>29.5</v>
      </c>
    </row>
    <row r="14" spans="1:6" x14ac:dyDescent="0.4">
      <c r="A14" s="1">
        <v>45677</v>
      </c>
      <c r="B14">
        <v>25.2</v>
      </c>
      <c r="C14">
        <v>16.8</v>
      </c>
      <c r="D14" t="s">
        <v>15</v>
      </c>
      <c r="E14" t="s">
        <v>16</v>
      </c>
      <c r="F14">
        <v>28</v>
      </c>
    </row>
    <row r="15" spans="1:6" x14ac:dyDescent="0.4">
      <c r="A15" s="1">
        <v>45708</v>
      </c>
      <c r="B15">
        <v>25.2</v>
      </c>
      <c r="C15">
        <v>16.7</v>
      </c>
      <c r="D15" t="s">
        <v>14</v>
      </c>
      <c r="E15" t="s">
        <v>16</v>
      </c>
      <c r="F15">
        <v>29</v>
      </c>
    </row>
    <row r="16" spans="1:6" x14ac:dyDescent="0.4">
      <c r="A16" s="1">
        <v>45736</v>
      </c>
      <c r="B16">
        <v>25.2</v>
      </c>
      <c r="C16">
        <v>16.600000000000001</v>
      </c>
      <c r="D16" t="s">
        <v>8</v>
      </c>
      <c r="E16" t="s">
        <v>16</v>
      </c>
      <c r="F16">
        <v>20.5</v>
      </c>
    </row>
    <row r="17" spans="1:6" x14ac:dyDescent="0.4">
      <c r="A17" s="1">
        <v>45767</v>
      </c>
      <c r="B17">
        <v>25.2</v>
      </c>
      <c r="C17">
        <v>16.5</v>
      </c>
      <c r="D17" t="s">
        <v>17</v>
      </c>
      <c r="E17" t="s">
        <v>18</v>
      </c>
      <c r="F17">
        <v>18</v>
      </c>
    </row>
    <row r="18" spans="1:6" x14ac:dyDescent="0.4">
      <c r="A18" s="1">
        <v>45797</v>
      </c>
      <c r="B18">
        <v>25.2</v>
      </c>
      <c r="C18">
        <v>16.399999999999999</v>
      </c>
      <c r="D18" t="s">
        <v>19</v>
      </c>
      <c r="E18" t="s">
        <v>18</v>
      </c>
      <c r="F18">
        <v>21</v>
      </c>
    </row>
    <row r="19" spans="1:6" x14ac:dyDescent="0.4">
      <c r="A19" s="1">
        <v>45828</v>
      </c>
      <c r="B19">
        <v>25.2</v>
      </c>
      <c r="C19">
        <v>16.3</v>
      </c>
      <c r="D19" t="s">
        <v>20</v>
      </c>
      <c r="E19" t="s">
        <v>18</v>
      </c>
      <c r="F19">
        <v>25</v>
      </c>
    </row>
    <row r="20" spans="1:6" x14ac:dyDescent="0.4">
      <c r="A20" s="1">
        <v>45858</v>
      </c>
      <c r="B20">
        <v>25.2</v>
      </c>
      <c r="C20">
        <v>16.2</v>
      </c>
      <c r="D20" t="s">
        <v>21</v>
      </c>
      <c r="E20" t="s">
        <v>18</v>
      </c>
      <c r="F20">
        <v>27</v>
      </c>
    </row>
    <row r="21" spans="1:6" x14ac:dyDescent="0.4">
      <c r="A21" s="1">
        <v>45889</v>
      </c>
      <c r="B21">
        <v>25.2</v>
      </c>
      <c r="C21">
        <v>16.100000000000001</v>
      </c>
      <c r="D21" t="s">
        <v>22</v>
      </c>
      <c r="E21" t="s">
        <v>18</v>
      </c>
      <c r="F21">
        <v>28.5</v>
      </c>
    </row>
    <row r="22" spans="1:6" x14ac:dyDescent="0.4">
      <c r="A22" s="1">
        <v>45920</v>
      </c>
      <c r="B22">
        <v>25.2</v>
      </c>
      <c r="C22">
        <v>16</v>
      </c>
      <c r="D22" t="s">
        <v>23</v>
      </c>
      <c r="E22" t="s">
        <v>18</v>
      </c>
      <c r="F22">
        <v>30</v>
      </c>
    </row>
    <row r="23" spans="1:6" x14ac:dyDescent="0.4">
      <c r="A23" s="1">
        <v>45950</v>
      </c>
      <c r="B23">
        <v>25.2</v>
      </c>
      <c r="C23">
        <v>15.9</v>
      </c>
      <c r="D23" t="s">
        <v>24</v>
      </c>
      <c r="E23" t="s">
        <v>18</v>
      </c>
      <c r="F23">
        <v>29</v>
      </c>
    </row>
    <row r="24" spans="1:6" x14ac:dyDescent="0.4">
      <c r="A24" s="1">
        <v>45981</v>
      </c>
      <c r="B24">
        <v>25.2</v>
      </c>
      <c r="C24">
        <v>15.8</v>
      </c>
      <c r="D24" t="s">
        <v>25</v>
      </c>
      <c r="E24" t="s">
        <v>18</v>
      </c>
      <c r="F24">
        <v>28.5</v>
      </c>
    </row>
    <row r="25" spans="1:6" x14ac:dyDescent="0.4">
      <c r="A25" s="1">
        <v>46011</v>
      </c>
      <c r="B25">
        <v>25.2</v>
      </c>
      <c r="C25">
        <v>15.7</v>
      </c>
      <c r="D25" t="s">
        <v>23</v>
      </c>
      <c r="E25" t="s">
        <v>18</v>
      </c>
      <c r="F25">
        <v>29</v>
      </c>
    </row>
    <row r="26" spans="1:6" x14ac:dyDescent="0.4">
      <c r="A26" s="1">
        <v>45678</v>
      </c>
      <c r="B26">
        <v>25.4</v>
      </c>
      <c r="C26">
        <v>15.6</v>
      </c>
      <c r="D26" t="s">
        <v>23</v>
      </c>
      <c r="E26" t="s">
        <v>18</v>
      </c>
      <c r="F26">
        <v>27.5</v>
      </c>
    </row>
    <row r="27" spans="1:6" x14ac:dyDescent="0.4">
      <c r="A27" s="1">
        <v>45709</v>
      </c>
      <c r="B27">
        <v>25.4</v>
      </c>
      <c r="C27">
        <v>15.5</v>
      </c>
      <c r="D27" t="s">
        <v>12</v>
      </c>
      <c r="E27" t="s">
        <v>18</v>
      </c>
      <c r="F27">
        <v>28</v>
      </c>
    </row>
    <row r="28" spans="1:6" x14ac:dyDescent="0.4">
      <c r="A28" s="1">
        <v>45737</v>
      </c>
      <c r="B28">
        <v>25.4</v>
      </c>
      <c r="C28">
        <v>15.4</v>
      </c>
      <c r="D28" t="s">
        <v>26</v>
      </c>
      <c r="E28" t="s">
        <v>18</v>
      </c>
      <c r="F28">
        <v>32</v>
      </c>
    </row>
    <row r="29" spans="1:6" x14ac:dyDescent="0.4">
      <c r="A29" s="1">
        <v>45768</v>
      </c>
      <c r="B29">
        <v>25.4</v>
      </c>
      <c r="C29">
        <v>15.3</v>
      </c>
      <c r="D29" t="s">
        <v>27</v>
      </c>
      <c r="E29" t="s">
        <v>18</v>
      </c>
      <c r="F29">
        <v>33.5</v>
      </c>
    </row>
    <row r="30" spans="1:6" x14ac:dyDescent="0.4">
      <c r="A30" s="1">
        <v>45798</v>
      </c>
      <c r="B30">
        <v>25.4</v>
      </c>
      <c r="C30">
        <v>15.2</v>
      </c>
      <c r="D30" t="s">
        <v>28</v>
      </c>
      <c r="E30" t="s">
        <v>18</v>
      </c>
      <c r="F30">
        <v>35</v>
      </c>
    </row>
    <row r="31" spans="1:6" x14ac:dyDescent="0.4">
      <c r="A31" s="1">
        <v>45829</v>
      </c>
      <c r="B31">
        <v>25.4</v>
      </c>
      <c r="C31">
        <v>15.1</v>
      </c>
      <c r="D31" t="s">
        <v>29</v>
      </c>
      <c r="E31" t="s">
        <v>18</v>
      </c>
      <c r="F31">
        <v>36.5</v>
      </c>
    </row>
    <row r="32" spans="1:6" x14ac:dyDescent="0.4">
      <c r="A32" s="1">
        <v>45859</v>
      </c>
      <c r="B32">
        <v>25.4</v>
      </c>
      <c r="C32">
        <v>15</v>
      </c>
      <c r="D32" t="s">
        <v>30</v>
      </c>
      <c r="E32" t="s">
        <v>18</v>
      </c>
      <c r="F32">
        <v>38</v>
      </c>
    </row>
    <row r="33" spans="1:6" x14ac:dyDescent="0.4">
      <c r="A33" s="1">
        <v>45890</v>
      </c>
      <c r="B33">
        <v>25.4</v>
      </c>
      <c r="C33">
        <v>14.9</v>
      </c>
      <c r="D33" t="s">
        <v>31</v>
      </c>
      <c r="E33" t="s">
        <v>18</v>
      </c>
      <c r="F33">
        <v>39</v>
      </c>
    </row>
    <row r="34" spans="1:6" x14ac:dyDescent="0.4">
      <c r="A34" s="1">
        <v>45921</v>
      </c>
      <c r="B34">
        <v>25.4</v>
      </c>
      <c r="C34">
        <v>14.8</v>
      </c>
      <c r="D34" t="s">
        <v>30</v>
      </c>
      <c r="E34" t="s">
        <v>18</v>
      </c>
      <c r="F34">
        <v>40.5</v>
      </c>
    </row>
    <row r="35" spans="1:6" x14ac:dyDescent="0.4">
      <c r="A35" s="1">
        <v>45951</v>
      </c>
      <c r="B35">
        <v>25.4</v>
      </c>
      <c r="C35">
        <v>14.7</v>
      </c>
      <c r="D35" t="s">
        <v>32</v>
      </c>
      <c r="E35" t="s">
        <v>18</v>
      </c>
      <c r="F35">
        <v>41</v>
      </c>
    </row>
    <row r="36" spans="1:6" x14ac:dyDescent="0.4">
      <c r="A36" s="1">
        <v>45982</v>
      </c>
      <c r="B36">
        <v>25.4</v>
      </c>
      <c r="C36">
        <v>14.6</v>
      </c>
      <c r="D36" t="s">
        <v>33</v>
      </c>
      <c r="E36" t="s">
        <v>18</v>
      </c>
      <c r="F36">
        <v>42.5</v>
      </c>
    </row>
    <row r="37" spans="1:6" x14ac:dyDescent="0.4">
      <c r="A37" s="1">
        <v>46012</v>
      </c>
      <c r="B37">
        <v>25.4</v>
      </c>
      <c r="C37">
        <v>14.5</v>
      </c>
      <c r="D37" t="s">
        <v>34</v>
      </c>
      <c r="E37" t="s">
        <v>18</v>
      </c>
      <c r="F37">
        <v>43</v>
      </c>
    </row>
    <row r="38" spans="1:6" x14ac:dyDescent="0.4">
      <c r="A38" s="1">
        <v>45679</v>
      </c>
      <c r="B38">
        <v>25.6</v>
      </c>
      <c r="C38">
        <v>14.4</v>
      </c>
      <c r="D38" t="s">
        <v>35</v>
      </c>
      <c r="E38" t="s">
        <v>18</v>
      </c>
      <c r="F38">
        <v>45</v>
      </c>
    </row>
    <row r="39" spans="1:6" x14ac:dyDescent="0.4">
      <c r="A39" s="1">
        <v>45710</v>
      </c>
      <c r="B39">
        <v>25.6</v>
      </c>
      <c r="C39">
        <v>14.3</v>
      </c>
      <c r="D39" t="s">
        <v>36</v>
      </c>
      <c r="E39" t="s">
        <v>18</v>
      </c>
      <c r="F39">
        <v>46.5</v>
      </c>
    </row>
    <row r="40" spans="1:6" x14ac:dyDescent="0.4">
      <c r="A40" s="1">
        <v>45738</v>
      </c>
      <c r="B40">
        <v>25.6</v>
      </c>
      <c r="C40">
        <v>14.2</v>
      </c>
      <c r="D40" t="s">
        <v>37</v>
      </c>
      <c r="E40" t="s">
        <v>38</v>
      </c>
      <c r="F40">
        <v>48</v>
      </c>
    </row>
    <row r="41" spans="1:6" x14ac:dyDescent="0.4">
      <c r="A41" s="1">
        <v>45769</v>
      </c>
      <c r="B41">
        <v>25.6</v>
      </c>
      <c r="C41">
        <v>14.1</v>
      </c>
      <c r="D41" t="s">
        <v>39</v>
      </c>
      <c r="E41" t="s">
        <v>40</v>
      </c>
      <c r="F41">
        <v>47.5</v>
      </c>
    </row>
    <row r="42" spans="1:6" x14ac:dyDescent="0.4">
      <c r="A42" s="1">
        <v>45799</v>
      </c>
      <c r="B42">
        <v>25.6</v>
      </c>
      <c r="C42">
        <v>14</v>
      </c>
      <c r="D42" t="s">
        <v>41</v>
      </c>
      <c r="E42" t="s">
        <v>21</v>
      </c>
      <c r="F42">
        <v>50</v>
      </c>
    </row>
    <row r="43" spans="1:6" x14ac:dyDescent="0.4">
      <c r="A43" s="1">
        <v>45830</v>
      </c>
      <c r="B43">
        <v>25.6</v>
      </c>
      <c r="C43">
        <v>13.9</v>
      </c>
      <c r="D43" t="s">
        <v>42</v>
      </c>
      <c r="E43" t="s">
        <v>8</v>
      </c>
      <c r="F43">
        <v>51</v>
      </c>
    </row>
    <row r="44" spans="1:6" x14ac:dyDescent="0.4">
      <c r="A44" s="1">
        <v>45860</v>
      </c>
      <c r="B44">
        <v>25.6</v>
      </c>
      <c r="C44">
        <v>13.8</v>
      </c>
      <c r="D44" t="s">
        <v>37</v>
      </c>
      <c r="E44" t="s">
        <v>15</v>
      </c>
      <c r="F44">
        <v>52</v>
      </c>
    </row>
    <row r="45" spans="1:6" x14ac:dyDescent="0.4">
      <c r="A45" s="1">
        <v>45891</v>
      </c>
      <c r="B45">
        <v>25.7</v>
      </c>
      <c r="C45">
        <v>13.9</v>
      </c>
      <c r="D45" t="s">
        <v>39</v>
      </c>
      <c r="E45" t="s">
        <v>15</v>
      </c>
      <c r="F45">
        <v>53</v>
      </c>
    </row>
    <row r="46" spans="1:6" x14ac:dyDescent="0.4">
      <c r="A46" s="1">
        <v>45922</v>
      </c>
      <c r="B46">
        <v>25.7</v>
      </c>
      <c r="C46">
        <v>14</v>
      </c>
      <c r="D46" t="s">
        <v>43</v>
      </c>
      <c r="E46" t="s">
        <v>44</v>
      </c>
      <c r="F46">
        <v>55</v>
      </c>
    </row>
    <row r="47" spans="1:6" x14ac:dyDescent="0.4">
      <c r="A47" s="1">
        <v>45952</v>
      </c>
      <c r="B47">
        <v>25.7</v>
      </c>
      <c r="C47">
        <v>14.1</v>
      </c>
      <c r="D47" t="s">
        <v>45</v>
      </c>
      <c r="E47" t="s">
        <v>46</v>
      </c>
      <c r="F47">
        <v>56</v>
      </c>
    </row>
    <row r="48" spans="1:6" x14ac:dyDescent="0.4">
      <c r="A48" s="1">
        <v>45983</v>
      </c>
      <c r="B48">
        <v>25.8</v>
      </c>
      <c r="C48">
        <v>14.2</v>
      </c>
      <c r="D48" t="s">
        <v>47</v>
      </c>
      <c r="E48" t="s">
        <v>48</v>
      </c>
      <c r="F48">
        <v>58</v>
      </c>
    </row>
    <row r="49" spans="1:6" x14ac:dyDescent="0.4">
      <c r="A49" s="1">
        <v>46013</v>
      </c>
      <c r="B49">
        <v>25.8</v>
      </c>
      <c r="C49">
        <v>14.3</v>
      </c>
      <c r="D49" t="s">
        <v>49</v>
      </c>
      <c r="E49" t="s">
        <v>50</v>
      </c>
      <c r="F49">
        <v>59</v>
      </c>
    </row>
    <row r="50" spans="1:6" x14ac:dyDescent="0.4">
      <c r="A50" s="1">
        <v>45680</v>
      </c>
      <c r="B50">
        <v>26</v>
      </c>
      <c r="C50">
        <v>14.5</v>
      </c>
      <c r="D50" t="s">
        <v>51</v>
      </c>
      <c r="E50" t="s">
        <v>52</v>
      </c>
      <c r="F50">
        <v>60</v>
      </c>
    </row>
    <row r="51" spans="1:6" x14ac:dyDescent="0.4">
      <c r="A51" s="1">
        <v>45711</v>
      </c>
      <c r="B51">
        <v>26</v>
      </c>
      <c r="C51">
        <v>14.6</v>
      </c>
      <c r="D51" t="s">
        <v>53</v>
      </c>
      <c r="E51" t="s">
        <v>54</v>
      </c>
      <c r="F51">
        <v>61.5</v>
      </c>
    </row>
    <row r="52" spans="1:6" x14ac:dyDescent="0.4">
      <c r="A52" s="1">
        <v>45739</v>
      </c>
      <c r="B52">
        <v>26.1</v>
      </c>
      <c r="C52">
        <v>14.7</v>
      </c>
      <c r="D52" t="s">
        <v>55</v>
      </c>
      <c r="E52" t="s">
        <v>56</v>
      </c>
      <c r="F52">
        <v>63</v>
      </c>
    </row>
    <row r="53" spans="1:6" x14ac:dyDescent="0.4">
      <c r="A53" s="1">
        <v>45770</v>
      </c>
      <c r="B53">
        <v>26.2</v>
      </c>
      <c r="C53">
        <v>14.8</v>
      </c>
      <c r="D53" t="s">
        <v>57</v>
      </c>
      <c r="E53" t="s">
        <v>58</v>
      </c>
      <c r="F53">
        <v>64</v>
      </c>
    </row>
    <row r="54" spans="1:6" x14ac:dyDescent="0.4">
      <c r="A54" s="1">
        <v>45800</v>
      </c>
      <c r="B54">
        <v>26.3</v>
      </c>
      <c r="C54">
        <v>14.9</v>
      </c>
      <c r="D54" t="s">
        <v>31</v>
      </c>
      <c r="E54" t="s">
        <v>57</v>
      </c>
      <c r="F54">
        <v>65</v>
      </c>
    </row>
    <row r="55" spans="1:6" x14ac:dyDescent="0.4">
      <c r="A55" s="1">
        <v>45831</v>
      </c>
      <c r="B55">
        <v>26.4</v>
      </c>
      <c r="C55">
        <v>15</v>
      </c>
      <c r="D55" t="s">
        <v>56</v>
      </c>
      <c r="E55" t="s">
        <v>59</v>
      </c>
      <c r="F55">
        <v>67</v>
      </c>
    </row>
    <row r="56" spans="1:6" x14ac:dyDescent="0.4">
      <c r="A56" s="1">
        <v>45861</v>
      </c>
      <c r="B56">
        <v>26.5</v>
      </c>
      <c r="C56">
        <v>15.1</v>
      </c>
      <c r="D56" t="s">
        <v>28</v>
      </c>
      <c r="E56" t="s">
        <v>59</v>
      </c>
      <c r="F56">
        <v>68.5</v>
      </c>
    </row>
    <row r="57" spans="1:6" x14ac:dyDescent="0.4">
      <c r="A57" s="1">
        <v>45892</v>
      </c>
      <c r="B57">
        <v>26.6</v>
      </c>
      <c r="C57">
        <v>15.2</v>
      </c>
      <c r="D57" t="s">
        <v>52</v>
      </c>
      <c r="E57" t="s">
        <v>57</v>
      </c>
      <c r="F57">
        <v>70</v>
      </c>
    </row>
    <row r="58" spans="1:6" x14ac:dyDescent="0.4">
      <c r="A58" s="1">
        <v>45923</v>
      </c>
      <c r="B58">
        <v>26.7</v>
      </c>
      <c r="C58">
        <v>15.3</v>
      </c>
      <c r="D58" t="s">
        <v>60</v>
      </c>
      <c r="E58" t="s">
        <v>58</v>
      </c>
      <c r="F58">
        <v>72</v>
      </c>
    </row>
    <row r="59" spans="1:6" x14ac:dyDescent="0.4">
      <c r="A59" s="1">
        <v>45953</v>
      </c>
      <c r="B59">
        <v>26.8</v>
      </c>
      <c r="C59">
        <v>15.4</v>
      </c>
      <c r="D59" t="s">
        <v>61</v>
      </c>
      <c r="E59" t="s">
        <v>56</v>
      </c>
      <c r="F59">
        <v>73.5</v>
      </c>
    </row>
    <row r="60" spans="1:6" x14ac:dyDescent="0.4">
      <c r="A60" s="1">
        <v>45984</v>
      </c>
      <c r="B60">
        <v>26.9</v>
      </c>
      <c r="C60">
        <v>15.5</v>
      </c>
      <c r="D60" t="s">
        <v>62</v>
      </c>
      <c r="E60" t="s">
        <v>54</v>
      </c>
      <c r="F60">
        <v>74</v>
      </c>
    </row>
    <row r="61" spans="1:6" x14ac:dyDescent="0.4">
      <c r="A61" s="1">
        <v>46014</v>
      </c>
      <c r="B61">
        <v>27</v>
      </c>
      <c r="C61">
        <v>15.6</v>
      </c>
      <c r="D61" t="s">
        <v>46</v>
      </c>
      <c r="E61" t="s">
        <v>52</v>
      </c>
      <c r="F61">
        <v>75</v>
      </c>
    </row>
    <row r="62" spans="1:6" x14ac:dyDescent="0.4">
      <c r="A62" s="1"/>
      <c r="D62" t="s">
        <v>63</v>
      </c>
      <c r="E62" t="s">
        <v>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23"/>
  <sheetViews>
    <sheetView workbookViewId="0">
      <selection activeCell="O6" sqref="O6"/>
    </sheetView>
  </sheetViews>
  <sheetFormatPr defaultRowHeight="14.6" x14ac:dyDescent="0.4"/>
  <cols>
    <col min="9" max="9" width="9.23046875" customWidth="1"/>
  </cols>
  <sheetData>
    <row r="4" spans="3:12" x14ac:dyDescent="0.4">
      <c r="H4" s="12">
        <f>C7*E7+C11*E10+C15*D14+C19*D17</f>
        <v>-0.70000000000000018</v>
      </c>
      <c r="I4" s="12"/>
    </row>
    <row r="5" spans="3:12" ht="14.6" customHeight="1" x14ac:dyDescent="0.4"/>
    <row r="6" spans="3:12" x14ac:dyDescent="0.4">
      <c r="G6" s="13" t="s">
        <v>112</v>
      </c>
      <c r="H6" s="13"/>
      <c r="I6" s="13"/>
    </row>
    <row r="7" spans="3:12" x14ac:dyDescent="0.4">
      <c r="C7" s="5">
        <v>1</v>
      </c>
      <c r="E7" s="3">
        <v>0.5</v>
      </c>
      <c r="G7" s="13"/>
      <c r="H7" s="13"/>
      <c r="I7" s="13"/>
    </row>
    <row r="8" spans="3:12" x14ac:dyDescent="0.4">
      <c r="C8" s="2"/>
    </row>
    <row r="9" spans="3:12" x14ac:dyDescent="0.4">
      <c r="C9" s="2"/>
      <c r="D9">
        <v>0.7</v>
      </c>
    </row>
    <row r="10" spans="3:12" x14ac:dyDescent="0.4">
      <c r="C10" s="2"/>
      <c r="E10">
        <v>-0.2</v>
      </c>
      <c r="H10" s="5">
        <f>1/(1+EXP(-H4))</f>
        <v>0.33181222783183384</v>
      </c>
      <c r="I10" s="2">
        <v>1</v>
      </c>
    </row>
    <row r="11" spans="3:12" ht="14.6" customHeight="1" x14ac:dyDescent="0.4">
      <c r="C11" s="5">
        <v>-1</v>
      </c>
      <c r="F11" s="2"/>
      <c r="H11" s="2"/>
      <c r="I11" s="2"/>
    </row>
    <row r="12" spans="3:12" x14ac:dyDescent="0.4">
      <c r="C12" s="2"/>
      <c r="D12">
        <v>-0.1</v>
      </c>
      <c r="F12" s="2"/>
      <c r="H12" s="2"/>
      <c r="I12" s="2"/>
    </row>
    <row r="13" spans="3:12" x14ac:dyDescent="0.4">
      <c r="C13" s="2"/>
      <c r="F13" s="2"/>
      <c r="H13" s="2"/>
      <c r="I13" s="2"/>
      <c r="K13" s="15" t="s">
        <v>110</v>
      </c>
      <c r="L13" s="15"/>
    </row>
    <row r="14" spans="3:12" ht="15.9" x14ac:dyDescent="0.4">
      <c r="D14">
        <v>-0.4</v>
      </c>
      <c r="F14" s="2"/>
      <c r="H14" s="2"/>
      <c r="I14" s="2"/>
      <c r="K14" s="16">
        <f>((I10 - H10)^2 + (I16 - H16)^2) / 2</f>
        <v>1.0499232512455572</v>
      </c>
      <c r="L14" s="16"/>
    </row>
    <row r="15" spans="3:12" x14ac:dyDescent="0.4">
      <c r="C15" s="5">
        <v>3</v>
      </c>
      <c r="D15">
        <v>-0.1</v>
      </c>
      <c r="F15" s="2"/>
      <c r="H15" s="2"/>
      <c r="I15" s="2"/>
    </row>
    <row r="16" spans="3:12" x14ac:dyDescent="0.4">
      <c r="C16" s="2"/>
      <c r="F16" s="2"/>
      <c r="H16" s="5">
        <f>1/(1+EXP(-H23))</f>
        <v>0.21416501695744133</v>
      </c>
      <c r="I16" s="2">
        <v>1.5</v>
      </c>
    </row>
    <row r="17" spans="3:9" x14ac:dyDescent="0.4">
      <c r="C17" s="2"/>
      <c r="D17">
        <v>-0.1</v>
      </c>
    </row>
    <row r="18" spans="3:9" x14ac:dyDescent="0.4">
      <c r="C18" s="2"/>
    </row>
    <row r="19" spans="3:9" ht="14.6" customHeight="1" x14ac:dyDescent="0.4">
      <c r="C19" s="5">
        <v>2</v>
      </c>
      <c r="E19">
        <v>-0.9</v>
      </c>
      <c r="G19" s="13" t="s">
        <v>113</v>
      </c>
      <c r="H19" s="13"/>
      <c r="I19" s="13"/>
    </row>
    <row r="20" spans="3:9" x14ac:dyDescent="0.4">
      <c r="G20" s="13"/>
      <c r="H20" s="13"/>
      <c r="I20" s="13"/>
    </row>
    <row r="22" spans="3:9" x14ac:dyDescent="0.4">
      <c r="H22" s="14" t="s">
        <v>111</v>
      </c>
      <c r="I22" s="14"/>
    </row>
    <row r="23" spans="3:9" x14ac:dyDescent="0.4">
      <c r="H23" s="14">
        <f>C7*D9+C11*D12+C15*D15+C19*E19</f>
        <v>-1.3000000000000003</v>
      </c>
      <c r="I23" s="14"/>
    </row>
  </sheetData>
  <mergeCells count="7">
    <mergeCell ref="H4:I4"/>
    <mergeCell ref="G6:I7"/>
    <mergeCell ref="H23:I23"/>
    <mergeCell ref="G19:I20"/>
    <mergeCell ref="K13:L13"/>
    <mergeCell ref="K14:L14"/>
    <mergeCell ref="H22:I2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824C1-7E6E-466C-8BFD-C304E4CF2A4C}">
  <dimension ref="C6:T18"/>
  <sheetViews>
    <sheetView workbookViewId="0">
      <selection activeCell="H34" sqref="H34"/>
    </sheetView>
  </sheetViews>
  <sheetFormatPr defaultRowHeight="14.6" x14ac:dyDescent="0.4"/>
  <cols>
    <col min="7" max="7" width="9.23046875" customWidth="1"/>
  </cols>
  <sheetData>
    <row r="6" spans="3:20" x14ac:dyDescent="0.4">
      <c r="C6" s="5">
        <v>2</v>
      </c>
      <c r="D6">
        <v>0.5</v>
      </c>
      <c r="G6" s="5">
        <f>1/(1+EXP(-(C6*D6+C12*D11+C18*D15)))</f>
        <v>0.94784643692158232</v>
      </c>
      <c r="H6" s="4">
        <v>-0.4</v>
      </c>
      <c r="K6" s="5">
        <f>1/(1+EXP(-(G6*H6+G12*H11+G18*H16)))</f>
        <v>0.27931812707492348</v>
      </c>
      <c r="L6">
        <v>0.5</v>
      </c>
    </row>
    <row r="7" spans="3:20" x14ac:dyDescent="0.4">
      <c r="D7" s="2">
        <v>0.5</v>
      </c>
      <c r="H7">
        <v>0.8</v>
      </c>
      <c r="L7" s="6">
        <v>0.7</v>
      </c>
    </row>
    <row r="8" spans="3:20" x14ac:dyDescent="0.4">
      <c r="D8" s="6">
        <v>0.5</v>
      </c>
      <c r="G8" s="5"/>
      <c r="H8" s="6">
        <v>-0.2</v>
      </c>
      <c r="K8" s="5"/>
      <c r="O8" s="5">
        <f>1/(1+EXP(-(K6*L6+K12*L11+K18*L16)))</f>
        <v>0.48573966460746193</v>
      </c>
      <c r="P8" s="2">
        <v>1</v>
      </c>
    </row>
    <row r="9" spans="3:20" x14ac:dyDescent="0.4">
      <c r="C9" s="2"/>
      <c r="G9" s="2"/>
      <c r="K9" s="2"/>
      <c r="O9" s="2"/>
    </row>
    <row r="10" spans="3:20" x14ac:dyDescent="0.4">
      <c r="C10" s="2"/>
      <c r="G10" s="2"/>
      <c r="K10" s="2"/>
      <c r="O10" s="2"/>
    </row>
    <row r="11" spans="3:20" x14ac:dyDescent="0.4">
      <c r="C11" s="2"/>
      <c r="D11" s="2">
        <v>0.7</v>
      </c>
      <c r="G11" s="2"/>
      <c r="H11" s="7">
        <v>-0.1</v>
      </c>
      <c r="K11" s="2"/>
      <c r="L11">
        <v>-0.2</v>
      </c>
      <c r="O11" s="2"/>
      <c r="S11" s="15" t="s">
        <v>110</v>
      </c>
      <c r="T11" s="15"/>
    </row>
    <row r="12" spans="3:20" ht="15.9" x14ac:dyDescent="0.4">
      <c r="C12" s="5">
        <v>5</v>
      </c>
      <c r="D12">
        <v>0.7</v>
      </c>
      <c r="G12" s="5">
        <f>1/(1+EXP(-(C6*D7+C12*D12+C18*D16)))</f>
        <v>0.94784643692158232</v>
      </c>
      <c r="H12">
        <v>-0.4</v>
      </c>
      <c r="K12" s="5">
        <f>1/(1+EXP(-(G6*H7+G12*H12+G18*H17)))</f>
        <v>0.75720484696871726</v>
      </c>
      <c r="O12" s="5"/>
      <c r="S12" s="16">
        <f>((P8 - O8)^2 + (P16 - O16)^2) / 2</f>
        <v>0.32092014505483196</v>
      </c>
      <c r="T12" s="16"/>
    </row>
    <row r="13" spans="3:20" x14ac:dyDescent="0.4">
      <c r="C13" s="2"/>
      <c r="D13" s="7">
        <v>0.7</v>
      </c>
      <c r="G13" s="2"/>
      <c r="H13" s="6">
        <v>0.2</v>
      </c>
      <c r="K13" s="2"/>
      <c r="L13">
        <v>-0.1</v>
      </c>
      <c r="O13" s="2"/>
    </row>
    <row r="14" spans="3:20" x14ac:dyDescent="0.4">
      <c r="C14" s="2"/>
      <c r="G14" s="2"/>
      <c r="K14" s="2"/>
      <c r="O14" s="2"/>
    </row>
    <row r="15" spans="3:20" x14ac:dyDescent="0.4">
      <c r="D15" s="8">
        <v>-0.2</v>
      </c>
    </row>
    <row r="16" spans="3:20" x14ac:dyDescent="0.4">
      <c r="D16">
        <v>-0.2</v>
      </c>
      <c r="G16" s="5"/>
      <c r="H16" s="6">
        <v>-0.5</v>
      </c>
      <c r="K16" s="5"/>
      <c r="L16">
        <v>-0.1</v>
      </c>
      <c r="O16" s="5">
        <f>1/(1+EXP(-(K6*L7+K12*L13+K18*L18)))</f>
        <v>0.58569014532435004</v>
      </c>
      <c r="P16" s="2">
        <v>1.2</v>
      </c>
    </row>
    <row r="17" spans="3:15" x14ac:dyDescent="0.4">
      <c r="C17" s="2"/>
      <c r="G17" s="2"/>
      <c r="H17">
        <v>0.8</v>
      </c>
      <c r="K17" s="2"/>
      <c r="O17" s="2"/>
    </row>
    <row r="18" spans="3:15" x14ac:dyDescent="0.4">
      <c r="C18" s="5">
        <v>8</v>
      </c>
      <c r="D18">
        <v>-0.2</v>
      </c>
      <c r="G18" s="5">
        <f>1/(1+EXP(-(C6*D8+C12*D13+C18*D18)))</f>
        <v>0.94784643692158232</v>
      </c>
      <c r="H18" s="6">
        <v>-0.2</v>
      </c>
      <c r="K18" s="5">
        <f>1/(1+EXP(-(G6*H8+G12*H13+G18*H18)))</f>
        <v>0.45274909620775738</v>
      </c>
      <c r="L18">
        <v>0.5</v>
      </c>
    </row>
  </sheetData>
  <mergeCells count="2">
    <mergeCell ref="S11:T11"/>
    <mergeCell ref="S12:T1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8303A-1621-4008-AA3E-9C664ADFE3BC}">
  <dimension ref="C4:R49"/>
  <sheetViews>
    <sheetView tabSelected="1" workbookViewId="0">
      <selection activeCell="S9" sqref="S9"/>
    </sheetView>
  </sheetViews>
  <sheetFormatPr defaultRowHeight="14.6" x14ac:dyDescent="0.4"/>
  <cols>
    <col min="9" max="9" width="9.23046875" customWidth="1"/>
    <col min="13" max="13" width="12.69140625" customWidth="1"/>
  </cols>
  <sheetData>
    <row r="4" spans="3:18" x14ac:dyDescent="0.4">
      <c r="H4" s="12">
        <f>C7*E7+C11*E10+C15*D14+C19*D17</f>
        <v>-0.70000000000000018</v>
      </c>
      <c r="I4" s="12"/>
    </row>
    <row r="5" spans="3:18" ht="14.6" customHeight="1" x14ac:dyDescent="0.4"/>
    <row r="6" spans="3:18" x14ac:dyDescent="0.4">
      <c r="G6" s="13" t="s">
        <v>112</v>
      </c>
      <c r="H6" s="13"/>
      <c r="I6" s="13"/>
      <c r="Q6" t="s">
        <v>114</v>
      </c>
      <c r="R6" s="3">
        <f>E7+C7*O8*(0.1+0.01)</f>
        <v>0.52560596508479851</v>
      </c>
    </row>
    <row r="7" spans="3:18" x14ac:dyDescent="0.4">
      <c r="C7" s="5">
        <v>1</v>
      </c>
      <c r="E7" s="3">
        <v>0.5</v>
      </c>
      <c r="G7" s="13"/>
      <c r="H7" s="13"/>
      <c r="I7" s="13"/>
      <c r="M7" s="2" t="s">
        <v>123</v>
      </c>
      <c r="N7" s="2"/>
      <c r="O7" s="2" t="s">
        <v>122</v>
      </c>
      <c r="Q7" t="s">
        <v>115</v>
      </c>
      <c r="R7" s="10">
        <f>E10+C11*O8*(0.1+0.01)</f>
        <v>-0.22560596508479849</v>
      </c>
    </row>
    <row r="8" spans="3:18" x14ac:dyDescent="0.4">
      <c r="C8" s="2"/>
      <c r="M8" s="9">
        <f>H10*(1-H10)</f>
        <v>0.22171287329310904</v>
      </c>
      <c r="N8" s="2"/>
      <c r="O8" s="2">
        <f>K14*M8</f>
        <v>0.23278150077089532</v>
      </c>
      <c r="Q8" t="s">
        <v>116</v>
      </c>
      <c r="R8" s="10">
        <f>D14+C15*O8*(0.1+0.01)</f>
        <v>-0.32318210474560455</v>
      </c>
    </row>
    <row r="9" spans="3:18" x14ac:dyDescent="0.4">
      <c r="C9" s="2"/>
      <c r="D9">
        <v>0.7</v>
      </c>
      <c r="M9" s="2"/>
      <c r="N9" s="2"/>
      <c r="O9" s="2"/>
      <c r="Q9" t="s">
        <v>117</v>
      </c>
      <c r="R9" s="10">
        <f>D17+C19*O8*(0.1+0.01)</f>
        <v>-4.8788069830403034E-2</v>
      </c>
    </row>
    <row r="10" spans="3:18" x14ac:dyDescent="0.4">
      <c r="C10" s="2"/>
      <c r="E10">
        <v>-0.2</v>
      </c>
      <c r="H10" s="2">
        <f>1/(1+EXP(-H4))</f>
        <v>0.33181222783183384</v>
      </c>
      <c r="I10" s="2">
        <v>1</v>
      </c>
      <c r="M10" s="2"/>
      <c r="N10" s="2"/>
      <c r="O10" s="2"/>
    </row>
    <row r="11" spans="3:18" ht="14.6" customHeight="1" x14ac:dyDescent="0.4">
      <c r="C11" s="5">
        <v>-1</v>
      </c>
      <c r="F11" s="2"/>
      <c r="H11" s="2"/>
      <c r="I11" s="2"/>
      <c r="M11" s="2"/>
      <c r="N11" s="2"/>
      <c r="O11" s="2"/>
    </row>
    <row r="12" spans="3:18" x14ac:dyDescent="0.4">
      <c r="C12" s="2"/>
      <c r="D12">
        <v>-0.1</v>
      </c>
      <c r="F12" s="2"/>
      <c r="H12" s="2"/>
      <c r="I12" s="2"/>
      <c r="M12" s="2"/>
      <c r="N12" s="2"/>
      <c r="O12" s="2"/>
    </row>
    <row r="13" spans="3:18" x14ac:dyDescent="0.4">
      <c r="C13" s="2"/>
      <c r="F13" s="2"/>
      <c r="H13" s="2"/>
      <c r="I13" s="2"/>
      <c r="K13" s="15" t="s">
        <v>110</v>
      </c>
      <c r="L13" s="15"/>
      <c r="M13" s="2"/>
      <c r="N13" s="2"/>
      <c r="O13" s="2"/>
    </row>
    <row r="14" spans="3:18" ht="15.9" x14ac:dyDescent="0.4">
      <c r="D14">
        <v>-0.4</v>
      </c>
      <c r="F14" s="2"/>
      <c r="H14" s="2"/>
      <c r="I14" s="2"/>
      <c r="K14" s="16">
        <f>((I10 - H10)^2 + (I16 - H16)^2) / 2</f>
        <v>1.0499232512455572</v>
      </c>
      <c r="L14" s="16"/>
      <c r="M14" s="2"/>
      <c r="N14" s="2"/>
      <c r="O14" s="2"/>
    </row>
    <row r="15" spans="3:18" x14ac:dyDescent="0.4">
      <c r="C15" s="5">
        <v>3</v>
      </c>
      <c r="D15">
        <v>-0.1</v>
      </c>
      <c r="F15" s="2"/>
      <c r="H15" s="2"/>
      <c r="I15" s="2"/>
      <c r="M15" s="2"/>
      <c r="N15" s="2"/>
      <c r="O15" s="2"/>
    </row>
    <row r="16" spans="3:18" x14ac:dyDescent="0.4">
      <c r="C16" s="2"/>
      <c r="F16" s="2"/>
      <c r="H16" s="2">
        <f>1/(1+EXP(-H23))</f>
        <v>0.21416501695744133</v>
      </c>
      <c r="I16" s="2">
        <v>1.5</v>
      </c>
      <c r="M16" s="2"/>
      <c r="N16" s="2"/>
      <c r="O16" s="2"/>
      <c r="Q16" t="s">
        <v>118</v>
      </c>
      <c r="R16" s="10">
        <f>D9+C7*O18*(0.1+0.01)</f>
        <v>0.71943704002931008</v>
      </c>
    </row>
    <row r="17" spans="3:18" x14ac:dyDescent="0.4">
      <c r="C17" s="2"/>
      <c r="D17">
        <v>-0.1</v>
      </c>
      <c r="M17" s="2" t="s">
        <v>123</v>
      </c>
      <c r="N17" s="2"/>
      <c r="O17" s="2" t="s">
        <v>122</v>
      </c>
      <c r="Q17" t="s">
        <v>119</v>
      </c>
      <c r="R17" s="10">
        <f>D12+C11*O18*(0.1+0.01)</f>
        <v>-0.11943704002931009</v>
      </c>
    </row>
    <row r="18" spans="3:18" x14ac:dyDescent="0.4">
      <c r="C18" s="2"/>
      <c r="M18" s="9">
        <f>H16*(1-H16)</f>
        <v>0.16829836246906019</v>
      </c>
      <c r="N18" s="2"/>
      <c r="O18" s="9">
        <f>K14*M18</f>
        <v>0.17670036390281893</v>
      </c>
      <c r="Q18" t="s">
        <v>120</v>
      </c>
      <c r="R18" s="10">
        <f>D15+C15*O18*(0.1+0.01)</f>
        <v>-4.1688879912069758E-2</v>
      </c>
    </row>
    <row r="19" spans="3:18" ht="14.6" customHeight="1" x14ac:dyDescent="0.4">
      <c r="C19" s="5">
        <v>2</v>
      </c>
      <c r="E19">
        <v>-0.9</v>
      </c>
      <c r="G19" s="13" t="s">
        <v>113</v>
      </c>
      <c r="H19" s="13"/>
      <c r="I19" s="13"/>
      <c r="Q19" t="s">
        <v>121</v>
      </c>
      <c r="R19" s="10">
        <f>E19+C19*O18*(0.1+0.01)</f>
        <v>-0.86112591994137988</v>
      </c>
    </row>
    <row r="20" spans="3:18" x14ac:dyDescent="0.4">
      <c r="G20" s="13"/>
      <c r="H20" s="13"/>
      <c r="I20" s="13"/>
    </row>
    <row r="22" spans="3:18" x14ac:dyDescent="0.4">
      <c r="H22" s="14" t="s">
        <v>111</v>
      </c>
      <c r="I22" s="14"/>
    </row>
    <row r="23" spans="3:18" x14ac:dyDescent="0.4">
      <c r="H23" s="14">
        <f>C7*D9+C11*D12+C15*D15+C19*E19</f>
        <v>-1.3000000000000003</v>
      </c>
      <c r="I23" s="14"/>
    </row>
    <row r="30" spans="3:18" x14ac:dyDescent="0.4">
      <c r="H30" s="18">
        <f>C33*E33+C37*E36+C41*D40+C45*D43</f>
        <v>-0.31591052372802281</v>
      </c>
      <c r="I30" s="18"/>
    </row>
    <row r="32" spans="3:18" x14ac:dyDescent="0.4">
      <c r="G32" s="13" t="s">
        <v>112</v>
      </c>
      <c r="H32" s="13"/>
      <c r="I32" s="13"/>
    </row>
    <row r="33" spans="3:12" x14ac:dyDescent="0.4">
      <c r="C33" s="5">
        <v>1</v>
      </c>
      <c r="E33" s="3">
        <f>R6</f>
        <v>0.52560596508479851</v>
      </c>
      <c r="G33" s="13"/>
      <c r="H33" s="13"/>
      <c r="I33" s="13"/>
    </row>
    <row r="34" spans="3:12" x14ac:dyDescent="0.4">
      <c r="C34" s="2"/>
    </row>
    <row r="35" spans="3:12" x14ac:dyDescent="0.4">
      <c r="C35" s="2"/>
      <c r="D35">
        <f>R16</f>
        <v>0.71943704002931008</v>
      </c>
    </row>
    <row r="36" spans="3:12" x14ac:dyDescent="0.4">
      <c r="C36" s="2"/>
      <c r="E36" s="11">
        <f>R7</f>
        <v>-0.22560596508479849</v>
      </c>
      <c r="H36" s="2">
        <f>1/(1+EXP(-H30))</f>
        <v>0.42167270657513489</v>
      </c>
      <c r="I36" s="2">
        <v>1</v>
      </c>
    </row>
    <row r="37" spans="3:12" x14ac:dyDescent="0.4">
      <c r="C37" s="5">
        <v>-1</v>
      </c>
      <c r="F37" s="2"/>
      <c r="H37" s="2"/>
      <c r="I37" s="2"/>
    </row>
    <row r="38" spans="3:12" x14ac:dyDescent="0.4">
      <c r="C38" s="2"/>
      <c r="D38" s="11">
        <f>R17</f>
        <v>-0.11943704002931009</v>
      </c>
      <c r="F38" s="2"/>
      <c r="H38" s="2"/>
      <c r="I38" s="2"/>
    </row>
    <row r="39" spans="3:12" x14ac:dyDescent="0.4">
      <c r="C39" s="2"/>
      <c r="F39" s="2"/>
      <c r="H39" s="2"/>
      <c r="I39" s="2"/>
      <c r="K39" s="15" t="s">
        <v>110</v>
      </c>
      <c r="L39" s="15"/>
    </row>
    <row r="40" spans="3:12" ht="15.9" x14ac:dyDescent="0.4">
      <c r="D40" s="11">
        <f>R8</f>
        <v>-0.32318210474560455</v>
      </c>
      <c r="F40" s="2"/>
      <c r="H40" s="2"/>
      <c r="I40" s="2"/>
      <c r="K40" s="16">
        <f>((I36 - H36)^2 + (I42 - H42)^2) / 2</f>
        <v>0.92702511105432228</v>
      </c>
      <c r="L40" s="16"/>
    </row>
    <row r="41" spans="3:12" x14ac:dyDescent="0.4">
      <c r="C41" s="5">
        <v>3</v>
      </c>
      <c r="D41" s="11">
        <f>R18</f>
        <v>-4.1688879912069758E-2</v>
      </c>
      <c r="F41" s="2"/>
      <c r="H41" s="2"/>
      <c r="I41" s="2"/>
    </row>
    <row r="42" spans="3:12" x14ac:dyDescent="0.4">
      <c r="C42" s="2"/>
      <c r="F42" s="2"/>
      <c r="H42" s="2">
        <f>1/(1+EXP(-H49))</f>
        <v>0.26728439460331532</v>
      </c>
      <c r="I42" s="2">
        <v>1.5</v>
      </c>
    </row>
    <row r="43" spans="3:12" x14ac:dyDescent="0.4">
      <c r="C43" s="2"/>
      <c r="D43" s="11">
        <f>R9</f>
        <v>-4.8788069830403034E-2</v>
      </c>
    </row>
    <row r="44" spans="3:12" x14ac:dyDescent="0.4">
      <c r="C44" s="2"/>
    </row>
    <row r="45" spans="3:12" x14ac:dyDescent="0.4">
      <c r="C45" s="5">
        <v>2</v>
      </c>
      <c r="E45" s="11">
        <f>R19</f>
        <v>-0.86112591994137988</v>
      </c>
      <c r="G45" s="13" t="s">
        <v>113</v>
      </c>
      <c r="H45" s="13"/>
      <c r="I45" s="13"/>
    </row>
    <row r="46" spans="3:12" x14ac:dyDescent="0.4">
      <c r="G46" s="13"/>
      <c r="H46" s="13"/>
      <c r="I46" s="13"/>
    </row>
    <row r="48" spans="3:12" x14ac:dyDescent="0.4">
      <c r="H48" s="14" t="s">
        <v>111</v>
      </c>
      <c r="I48" s="14"/>
    </row>
    <row r="49" spans="8:9" x14ac:dyDescent="0.4">
      <c r="H49" s="17">
        <f>C33*D35+C37*D38+C41*D41+C45*E45</f>
        <v>-1.0084443995603487</v>
      </c>
      <c r="I49" s="17"/>
    </row>
  </sheetData>
  <mergeCells count="14">
    <mergeCell ref="H48:I48"/>
    <mergeCell ref="H49:I49"/>
    <mergeCell ref="H23:I23"/>
    <mergeCell ref="H30:I30"/>
    <mergeCell ref="G32:I33"/>
    <mergeCell ref="K39:L39"/>
    <mergeCell ref="K40:L40"/>
    <mergeCell ref="G45:I46"/>
    <mergeCell ref="H4:I4"/>
    <mergeCell ref="G6:I7"/>
    <mergeCell ref="K13:L13"/>
    <mergeCell ref="K14:L14"/>
    <mergeCell ref="G19:I20"/>
    <mergeCell ref="H22:I2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0601C5-7ABF-4F02-9E98-A250977CB4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1.1</vt:lpstr>
      <vt:lpstr>Задание 1.2</vt:lpstr>
      <vt:lpstr>Задание 2</vt:lpstr>
      <vt:lpstr>Задание 3.1</vt:lpstr>
      <vt:lpstr>Задание 3.2</vt:lpstr>
      <vt:lpstr>Задание 3.3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Merrcurys</dc:creator>
  <cp:lastModifiedBy>Merrcurys</cp:lastModifiedBy>
  <dcterms:created xsi:type="dcterms:W3CDTF">2015-06-05T18:19:34Z</dcterms:created>
  <dcterms:modified xsi:type="dcterms:W3CDTF">2025-05-03T23:11:09Z</dcterms:modified>
</cp:coreProperties>
</file>